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23\Downloads\files\OrangeHRM-Manual-Testing-Week1\OrangeHRM-Manual-Testing-Week1\02_Test_Cases\"/>
    </mc:Choice>
  </mc:AlternateContent>
  <xr:revisionPtr revIDLastSave="0" documentId="13_ncr:1_{5FED3B14-F3E8-4549-BF68-A8B36AC7F4C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 Cases &amp; Execution" sheetId="1" r:id="rId1"/>
  </sheets>
  <definedNames>
    <definedName name="_xlnm._FilterDatabase" localSheetId="0" hidden="1">'Test Cases &amp; Execution'!$A$4:$M$48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5" i="1" l="1"/>
  <c r="B54" i="1"/>
  <c r="B53" i="1"/>
  <c r="B52" i="1"/>
  <c r="B51" i="1"/>
  <c r="B56" i="1" l="1"/>
</calcChain>
</file>

<file path=xl/sharedStrings.xml><?xml version="1.0" encoding="utf-8"?>
<sst xmlns="http://schemas.openxmlformats.org/spreadsheetml/2006/main" count="435" uniqueCount="250">
  <si>
    <t>OrangeHRM – Manual Test Cases with Execution Results</t>
  </si>
  <si>
    <t>TC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</si>
  <si>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</si>
  <si>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</si>
  <si>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</si>
  <si>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</si>
  <si>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</si>
  <si>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</si>
  <si>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</si>
  <si>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</si>
  <si>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Executed By</t>
  </si>
  <si>
    <t>Execution Date</t>
  </si>
  <si>
    <t>Bug ID</t>
  </si>
  <si>
    <t>Screenshot</t>
  </si>
  <si>
    <t>Login / Authentication</t>
  </si>
  <si>
    <t>TC_001</t>
  </si>
  <si>
    <t>Verify login with valid Admin credentials navigates to the Dashboard</t>
  </si>
  <si>
    <t>1. Open the application URL
2. Enter Username: Admin
3. Enter Password: admin123
4. Click Login</t>
  </si>
  <si>
    <t>Admin / admin123</t>
  </si>
  <si>
    <t>User is authenticated and the Dashboard page loads</t>
  </si>
  <si>
    <t>User logged in successfully; Dashboard loaded in approx. 2 seconds as expected</t>
  </si>
  <si>
    <t>Pass</t>
  </si>
  <si>
    <t>High</t>
  </si>
  <si>
    <t>[Your Name]</t>
  </si>
  <si>
    <t>15-Sep-2026</t>
  </si>
  <si>
    <t>TC_002</t>
  </si>
  <si>
    <t>Verify an error message is displayed for an invalid username</t>
  </si>
  <si>
    <t>1. Open the application URL
2. Enter Username: wronguser
3. Enter Password: admin123
4. Click Login</t>
  </si>
  <si>
    <t>wronguser / admin123</t>
  </si>
  <si>
    <t>Login is denied and the message "Invalid credentials" is displayed</t>
  </si>
  <si>
    <t>"Invalid credentials" banner displayed in red at the top of the login card; login denied</t>
  </si>
  <si>
    <t>TC_003</t>
  </si>
  <si>
    <t>Verify an error message is displayed for an invalid password</t>
  </si>
  <si>
    <t>1. Open the application URL
2. Enter Username: Admin
3. Enter Password: wrongpass123
4. Click Login</t>
  </si>
  <si>
    <t>Admin / wrongpass123</t>
  </si>
  <si>
    <t>"Invalid credentials" displayed; message is identical to TC_002, so no username enumeration occurs</t>
  </si>
  <si>
    <t>TC_004</t>
  </si>
  <si>
    <t>Verify field-level validation when username and password are left blank</t>
  </si>
  <si>
    <t>1. Open the application URL
2. Leave both fields empty
3. Click Login</t>
  </si>
  <si>
    <t>(blank)</t>
  </si>
  <si>
    <t>"Required" validation text appears below both fields; the form is not submitted</t>
  </si>
  <si>
    <t>"Required" shown in red below both Username and Password; no network request issued</t>
  </si>
  <si>
    <t>TC_005</t>
  </si>
  <si>
    <t>Verify the password field masks the characters entered</t>
  </si>
  <si>
    <t>1. Open the application URL
2. Click the Password field
3. Type any password</t>
  </si>
  <si>
    <t>Password: admin123</t>
  </si>
  <si>
    <t>Characters are displayed as dots and never as plain text</t>
  </si>
  <si>
    <t>All characters rendered as bullet characters; input type confirmed as password</t>
  </si>
  <si>
    <t>Medium</t>
  </si>
  <si>
    <t>TC_006</t>
  </si>
  <si>
    <t>Verify the "Forgot your password?" link opens the Reset Password page</t>
  </si>
  <si>
    <t>1. Open the application URL
2. Click "Forgot your password?"</t>
  </si>
  <si>
    <t>N/A</t>
  </si>
  <si>
    <t>The Reset Password page opens with a Username field, Cancel and Reset Password buttons</t>
  </si>
  <si>
    <t>Navigated to /auth/requestPasswordResetCode; page rendered with all expected elements</t>
  </si>
  <si>
    <t>TC_007</t>
  </si>
  <si>
    <t>Verify the password reset email is delivered to the registered address</t>
  </si>
  <si>
    <t>1. Open the Reset Password page
2. Enter Username: Admin
3. Click Reset Password
4. Check the registered mailbox</t>
  </si>
  <si>
    <t>Username: Admin</t>
  </si>
  <si>
    <t>A password reset email containing a valid reset link is received</t>
  </si>
  <si>
    <t>Confirmation screen appeared, but no mailbox is attached to the public demo account, so delivery could not be verified. Test blocked – environment limitation, not a product defect.</t>
  </si>
  <si>
    <t>Blocked</t>
  </si>
  <si>
    <t>TC_008</t>
  </si>
  <si>
    <t>Verify a logged-in user can log out successfully</t>
  </si>
  <si>
    <t>1. Log in as Admin
2. Click the profile icon (top-right)
3. Click Logout</t>
  </si>
  <si>
    <t>The session ends and the browser is redirected to the Login page</t>
  </si>
  <si>
    <t>Redirected to the Login page and the login form was displayed as expected</t>
  </si>
  <si>
    <t>TC_009</t>
  </si>
  <si>
    <t>Verify the session is invalidated after logout when the browser Back button is used</t>
  </si>
  <si>
    <t>1. Log in as Admin
2. Navigate to PIM &gt; Employee List
3. Click Logout
4. Press the browser Back button</t>
  </si>
  <si>
    <t>The user remains logged out and is redirected to the Login page; protected content is not displayed</t>
  </si>
  <si>
    <t>The previously viewed authenticated page is rendered from cache with employee data visible instead of redirecting to Login. Defect logged.</t>
  </si>
  <si>
    <t>Fail</t>
  </si>
  <si>
    <t>BUG_001</t>
  </si>
  <si>
    <t>BUG_001.png</t>
  </si>
  <si>
    <t>TC_010</t>
  </si>
  <si>
    <t>Verify the account is locked or throttled after repeated failed login attempts</t>
  </si>
  <si>
    <t>1. Open the application URL
2. Enter Username: Admin with an incorrect password
3. Repeat the failed attempt 5 consecutive times
4. Attempt a 6th login</t>
  </si>
  <si>
    <t>Admin / wrongpass (x5)</t>
  </si>
  <si>
    <t>After the defined threshold the account is locked, throttled, or a CAPTCHA challenge is presented</t>
  </si>
  <si>
    <t>All 5 attempts returned only "Invalid credentials". A 6th and 10th attempt were also accepted with no lockout, delay or CAPTCHA. Defect logged.</t>
  </si>
  <si>
    <t>BUG_002</t>
  </si>
  <si>
    <t>BUG_002.png</t>
  </si>
  <si>
    <t>TC_011</t>
  </si>
  <si>
    <t>Verify a username entered with leading and trailing spaces is trimmed and accepted</t>
  </si>
  <si>
    <t>1. Open the application URL
2. Enter Username as "  Admin  " (with spaces)
3. Enter Password: admin123
4. Click Login</t>
  </si>
  <si>
    <t>"  Admin  " / admin123</t>
  </si>
  <si>
    <t>Surrounding whitespace is trimmed and the user logs in successfully</t>
  </si>
  <si>
    <t>Login rejected with "Invalid credentials"; the input is not trimmed before authentication. Defect logged.</t>
  </si>
  <si>
    <t>Low</t>
  </si>
  <si>
    <t>BUG_003</t>
  </si>
  <si>
    <t>BUG_003.png</t>
  </si>
  <si>
    <t>Dashboard</t>
  </si>
  <si>
    <t>TC_012</t>
  </si>
  <si>
    <t>Verify the Dashboard loads with its default widgets after a successful login</t>
  </si>
  <si>
    <t>1. Log in as Admin
2. Observe the Dashboard page</t>
  </si>
  <si>
    <t>Default widgets such as Time at Work, My Actions, Quick Launch and Buzz Latest Posts are displayed</t>
  </si>
  <si>
    <t>All default widgets rendered correctly with no console errors</t>
  </si>
  <si>
    <t>TC_013</t>
  </si>
  <si>
    <t>Verify the Quick Launch panel icons navigate to their respective modules</t>
  </si>
  <si>
    <t>1. On the Dashboard, click the "Assign Leave" Quick Launch icon
2. Return and click "Employee List"</t>
  </si>
  <si>
    <t>Each icon navigates to the correct corresponding module page</t>
  </si>
  <si>
    <t>Assign Leave opened /leave/assignLeave and Employee List opened /pim/viewEmployeeList as expected</t>
  </si>
  <si>
    <t>TC_014</t>
  </si>
  <si>
    <t>Verify the top navigation bar lists all expected modules</t>
  </si>
  <si>
    <t>1. Log in as Admin
2. Inspect the left-hand navigation menu</t>
  </si>
  <si>
    <t>Admin, PIM, Leave, Time, Recruitment, My Info, Performance, Dashboard, Directory, Maintenance, Claim and Buzz are present</t>
  </si>
  <si>
    <t>All expected modules were listed and clickable</t>
  </si>
  <si>
    <t>TC_015</t>
  </si>
  <si>
    <t>Verify the profile dropdown displays the logged-in user and its menu options</t>
  </si>
  <si>
    <t>1. Log in as Admin
2. Click the profile picture at the top-right</t>
  </si>
  <si>
    <t>The dropdown shows the logged-in username with About, Support, Change Password and Logout options</t>
  </si>
  <si>
    <t>Dropdown displayed all four options and the correct logged-in user name</t>
  </si>
  <si>
    <t>PIM – Add Employee</t>
  </si>
  <si>
    <t>TC_016</t>
  </si>
  <si>
    <t>Verify PIM &gt; Add Employee opens the Add Employee form</t>
  </si>
  <si>
    <t>1. Log in as Admin
2. Click PIM
3. Click the Add Employee tab</t>
  </si>
  <si>
    <t>The Add Employee form is displayed with First Name, Middle Name, Last Name and Employee Id fields</t>
  </si>
  <si>
    <t>Form rendered with all expected fields and the profile-photo placeholder</t>
  </si>
  <si>
    <t>16-Sep-2026</t>
  </si>
  <si>
    <t>TC_017</t>
  </si>
  <si>
    <t>Verify a new employee can be created using only the mandatory fields</t>
  </si>
  <si>
    <t>1. Open PIM &gt; Add Employee
2. Enter First Name: Rahul
3. Enter Last Name: Sharma
4. Click Save</t>
  </si>
  <si>
    <t>First Name: Rahul
Last Name: Sharma</t>
  </si>
  <si>
    <t>The employee record is saved and the Personal Details page for the new employee opens</t>
  </si>
  <si>
    <t>"Successfully Saved" toast displayed and the app redirected to the Personal Details tab of the new record</t>
  </si>
  <si>
    <t>TC_018</t>
  </si>
  <si>
    <t>Verify validation is enforced when a mandatory name field is left blank</t>
  </si>
  <si>
    <t>1. Open PIM &gt; Add Employee
2. Leave First Name blank
3. Enter Last Name: Sharma
4. Click Save</t>
  </si>
  <si>
    <t>Last Name: Sharma</t>
  </si>
  <si>
    <t>"Required" validation text is shown under First Name and the record is not saved</t>
  </si>
  <si>
    <t>"Required" displayed under First Name; the record was not created</t>
  </si>
  <si>
    <t>TC_019</t>
  </si>
  <si>
    <t>Verify a valid profile photo can be uploaded while adding an employee</t>
  </si>
  <si>
    <t>1. Open PIM &gt; Add Employee
2. Click the photo placeholder and select a valid 240 KB .jpg
3. Complete the mandatory fields
4. Click Save</t>
  </si>
  <si>
    <t>profile_valid.jpg (240 KB)</t>
  </si>
  <si>
    <t>The photo is uploaded and displayed on the saved employee profile</t>
  </si>
  <si>
    <t>Photo uploaded successfully and rendered on the employee's Personal Details page</t>
  </si>
  <si>
    <t>TC_020</t>
  </si>
  <si>
    <t>Verify an oversized profile photo is rejected with a clear error message</t>
  </si>
  <si>
    <t>1. Open PIM &gt; Add Employee
2. Attempt to upload a 3 MB .jpg image
3. Observe the response</t>
  </si>
  <si>
    <t>profile_oversize.jpg (3 MB)</t>
  </si>
  <si>
    <t>The upload is rejected with a specific message stating the maximum permitted file size</t>
  </si>
  <si>
    <t>The file was rejected, but the message shown does not state the maximum allowed size, so the user cannot tell what size is acceptable. Defect logged.</t>
  </si>
  <si>
    <t>BUG_004</t>
  </si>
  <si>
    <t>BUG_004.png</t>
  </si>
  <si>
    <t>TC_021</t>
  </si>
  <si>
    <t>Verify the Employee Id field rejects invalid special characters</t>
  </si>
  <si>
    <t>1. Open PIM &gt; Add Employee
2. Enter First Name and Last Name
3. Set Employee Id to: @@##$$%%
4. Click Save</t>
  </si>
  <si>
    <t>Employee Id: @@##$$%%</t>
  </si>
  <si>
    <t>A validation message is displayed and the record is not saved with an invalid identifier</t>
  </si>
  <si>
    <t>The record saved successfully with Employee Id "@@##$$%%" and the value is shown as-is in the Employee List. Defect logged.</t>
  </si>
  <si>
    <t>BUG_005</t>
  </si>
  <si>
    <t>BUG_005.png</t>
  </si>
  <si>
    <t>PIM – Employee List &amp; Search</t>
  </si>
  <si>
    <t>TC_022</t>
  </si>
  <si>
    <t>Verify PIM &gt; Employee List displays the existing employee records</t>
  </si>
  <si>
    <t>1. Log in as Admin
2. Click PIM &gt; Employee List</t>
  </si>
  <si>
    <t>A paginated table of employee records with a total record count is displayed</t>
  </si>
  <si>
    <t>Employee records listed correctly with the "(n) Records Found" count above the table</t>
  </si>
  <si>
    <t>TC_023</t>
  </si>
  <si>
    <t>Verify searching for an employee by name returns the matching record</t>
  </si>
  <si>
    <t>1. Open PIM &gt; Employee List
2. Type "Rahul" in the Employee Name field and select the suggestion
3. Click Search</t>
  </si>
  <si>
    <t>Employee Name: Rahul Sharma</t>
  </si>
  <si>
    <t>Only records matching the searched employee name are returned</t>
  </si>
  <si>
    <t>Search returned exactly the matching record created in TC_017</t>
  </si>
  <si>
    <t>TC_024</t>
  </si>
  <si>
    <t>Verify searching by Employee Id returns the correct record</t>
  </si>
  <si>
    <t>1. Open PIM &gt; Employee List
2. Enter a known Employee Id
3. Click Search</t>
  </si>
  <si>
    <t>Employee Id: 0421</t>
  </si>
  <si>
    <t>The single employee record matching that Id is displayed</t>
  </si>
  <si>
    <t>The correct employee record was returned</t>
  </si>
  <si>
    <t>TC_025</t>
  </si>
  <si>
    <t>Verify a search with no matching data displays a "No Records Found" message</t>
  </si>
  <si>
    <t>1. Open PIM &gt; Employee List
2. Enter Employee Id: ZZZ9999
3. Click Search</t>
  </si>
  <si>
    <t>Employee Id: ZZZ9999</t>
  </si>
  <si>
    <t>"No Records Found" is displayed and the results table is empty</t>
  </si>
  <si>
    <t>"No Records Found" toast displayed and the table showed (0) Records Found</t>
  </si>
  <si>
    <t>TC_026</t>
  </si>
  <si>
    <t>Verify an existing employee's personal details can be edited and saved</t>
  </si>
  <si>
    <t>1. Open an employee's Personal Details page
2. Update the Driver's License Number field
3. Click Save
4. Reload the page</t>
  </si>
  <si>
    <t>License No: DL-2026-0099</t>
  </si>
  <si>
    <t>The updated value is saved and persists after the page is reloaded</t>
  </si>
  <si>
    <t>"Successfully Updated" toast displayed and the value persisted after reload</t>
  </si>
  <si>
    <t>Leave Management</t>
  </si>
  <si>
    <t>TC_027</t>
  </si>
  <si>
    <t>Verify Leave &gt; Apply opens the leave application form</t>
  </si>
  <si>
    <t>1. Log in as Admin
2. Click Leave &gt; Apply</t>
  </si>
  <si>
    <t>The Apply Leave form opens with Leave Type, From Date, To Date and Comments fields</t>
  </si>
  <si>
    <t>Apply Leave form rendered with all expected fields</t>
  </si>
  <si>
    <t>TC_028</t>
  </si>
  <si>
    <t>Verify a leave request can be submitted with a valid leave type and date range</t>
  </si>
  <si>
    <t>1. Open Leave &gt; Apply
2. Select Leave Type: CAN - Personal
3. Set From Date and To Date
4. Click Apply</t>
  </si>
  <si>
    <t>From: 21-Sep-2026
To: 22-Sep-2026</t>
  </si>
  <si>
    <t>The leave request is submitted and a success confirmation is displayed</t>
  </si>
  <si>
    <t>"Successfully Submitted" toast displayed and the request was created</t>
  </si>
  <si>
    <t>TC_029</t>
  </si>
  <si>
    <t>Verify validation when the To Date is earlier than the From Date</t>
  </si>
  <si>
    <t>1. Open Leave &gt; Apply
2. Set From Date: 25-Sep-2026
3. Set To Date: 20-Sep-2026
4. Click Apply</t>
  </si>
  <si>
    <t>From: 25-Sep-2026
To: 20-Sep-2026</t>
  </si>
  <si>
    <t>A validation message is displayed and the request is not submitted</t>
  </si>
  <si>
    <t>"To date should be after from date" displayed under the To Date field; submission blocked</t>
  </si>
  <si>
    <t>TC_030</t>
  </si>
  <si>
    <t>Verify a submitted request appears under My Leave with status "Pending Approval"</t>
  </si>
  <si>
    <t>1. Submit a leave request (see TC_028)
2. Navigate to Leave &gt; My Leave
3. Clear the date filter and click Search</t>
  </si>
  <si>
    <t>The submitted request is listed with the status "Pending Approval"</t>
  </si>
  <si>
    <t>The request from TC_028 was listed with status "Pending Approval" and the correct date range</t>
  </si>
  <si>
    <t>TC_031</t>
  </si>
  <si>
    <t>Verify a pending leave request can be approved by an authorised approver</t>
  </si>
  <si>
    <t>1. Open Leave &gt; Leave List
2. Filter by Status: Pending Approval
3. Open a request and click Approve</t>
  </si>
  <si>
    <t>Status: Pending Approval</t>
  </si>
  <si>
    <t>The request status changes to "Scheduled"/"Approved" and the employee's balance is updated</t>
  </si>
  <si>
    <t>No supervisor-subordinate reporting hierarchy is configured for the demo Admin account, so no request was actionable by this user. Test blocked – environment/data limitation.</t>
  </si>
  <si>
    <t>Admin – User Management</t>
  </si>
  <si>
    <t>TC_032</t>
  </si>
  <si>
    <t>Verify Admin &gt; User Management &gt; Add opens the Add User form</t>
  </si>
  <si>
    <t>1. Log in as Admin
2. Click Admin &gt; User Management &gt; Users
3. Click Add</t>
  </si>
  <si>
    <t>The Add User form opens with User Role, Employee Name, Status, Username, Password and Confirm Password fields</t>
  </si>
  <si>
    <t>Form rendered with all six expected fields</t>
  </si>
  <si>
    <t>TC_033</t>
  </si>
  <si>
    <t>Verify a new ESS system user can be created with valid details</t>
  </si>
  <si>
    <t>1. Open the Add User form
2. Select User Role: ESS
3. Select an Employee Name from the autocomplete
4. Set Status: Enabled
5. Enter Username and matching passwords
6. Click Save</t>
  </si>
  <si>
    <t>Username: rahul.sharma
Password: Test@2026</t>
  </si>
  <si>
    <t>The user is created and appears in the System Users list</t>
  </si>
  <si>
    <t>"Successfully Saved" toast displayed and the new user appeared in the System Users table</t>
  </si>
  <si>
    <t>TC_034</t>
  </si>
  <si>
    <t>Verify validation when Password and Confirm Password do not match</t>
  </si>
  <si>
    <t>1. Open the Add User form
2. Enter Password: Test@2026
3. Enter Confirm Password: Test@2027
4. Click Save</t>
  </si>
  <si>
    <t>Test@2026 / Test@2027</t>
  </si>
  <si>
    <t>"Passwords do not match" is displayed and the user is not created</t>
  </si>
  <si>
    <t>"Passwords do not match" displayed under Confirm Password; the record was not saved</t>
  </si>
  <si>
    <t>TC_035</t>
  </si>
  <si>
    <t>Verify the newly created ESS user can log in with their own credentials</t>
  </si>
  <si>
    <t>1. Log out of the Admin session
2. Log in using the credentials created in TC_033</t>
  </si>
  <si>
    <t>rahul.sharma / Test@2026</t>
  </si>
  <si>
    <t>The ESS user logs in successfully and sees an ESS-restricted menu</t>
  </si>
  <si>
    <t>Login succeeded and only the ESS-permitted modules (Leave, Time, My Info, Buzz) were visible, as expected</t>
  </si>
  <si>
    <t>My Info</t>
  </si>
  <si>
    <t>TC_036</t>
  </si>
  <si>
    <t>Verify My Info displays the logged-in employee's personal details</t>
  </si>
  <si>
    <t>1. Log in
2. Click My Info in the left navigation</t>
  </si>
  <si>
    <t>The Personal Details page opens showing the logged-in employee's own record</t>
  </si>
  <si>
    <t>Personal Details displayed the correct employee name and details for the logged-in user</t>
  </si>
  <si>
    <t>EXECUTION SUMMARY</t>
  </si>
  <si>
    <t>Total test cases executed</t>
  </si>
  <si>
    <t>Passed</t>
  </si>
  <si>
    <t>Failed</t>
  </si>
  <si>
    <t>Defects logged</t>
  </si>
  <si>
    <t>Pass rate</t>
  </si>
  <si>
    <t>Application: https://opensource-demo.orangehrmlive.com/  |  Build tested: OrangeHRM OS 5.x demo  |  Browser: Chrome 129 (Windows 11)  |  Execution window: 15–16 Sep 2026  |  Tester: [Jayant Bansal]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</si>
</sst>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2F5496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  <font>
      <b/>
      <sz val="10"/>
      <color rgb="FF9C6500"/>
      <name val="Arial"/>
      <charset val="1"/>
    </font>
    <font>
      <b/>
      <sz val="10"/>
      <color rgb="FF9C0006"/>
      <name val="Arial"/>
      <charset val="1"/>
    </font>
    <font>
      <b/>
      <sz val="11"/>
      <color rgb="FF2F549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D9E2F3"/>
        <bgColor rgb="FFD9D9D9"/>
      </patternFill>
    </fill>
    <fill>
      <patternFill patternType="solid">
        <fgColor rgb="FFC6EFCE"/>
        <bgColor rgb="FFD9E2F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0" xfId="0" applyFont="1" applyFill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9" fillId="0" borderId="0" xfId="0" applyFont="1"/>
    <xf numFmtId="0" fontId="5" fillId="0" borderId="0" xfId="0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showGridLines="0" tabSelected="1" zoomScaleNormal="100" workbookViewId="0">
      <pane ySplit="4" topLeftCell="A48" activePane="bottomLeft" state="frozen"/>
      <selection pane="bottomLeft" activeCell="A48" sqref="A48:XFD48"/>
    </sheetView>
  </sheetViews>
  <sheetFormatPr defaultColWidth="8.7109375" defaultRowHeight="15" x14ac:dyDescent="0.25"/>
  <cols>
    <col min="1" max="1" width="11" customWidth="1"/>
    <col min="2" max="2" width="20" customWidth="1"/>
    <col min="3" max="3" width="30" customWidth="1"/>
    <col min="4" max="4" width="34" customWidth="1"/>
    <col min="5" max="5" width="18" customWidth="1"/>
    <col min="6" max="6" width="32" customWidth="1"/>
    <col min="7" max="7" width="36" customWidth="1"/>
    <col min="8" max="8" width="11" customWidth="1"/>
    <col min="9" max="9" width="10" customWidth="1"/>
    <col min="10" max="11" width="13" customWidth="1"/>
    <col min="12" max="12" width="11" customWidth="1"/>
    <col min="13" max="13" width="14" customWidth="1"/>
  </cols>
  <sheetData>
    <row r="1" spans="1:13" ht="25.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x14ac:dyDescent="0.25">
      <c r="A2" s="2" t="s">
        <v>249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27.75" customHeigh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ht="18" customHeight="1" x14ac:dyDescent="0.25">
      <c r="A5" s="1" t="s">
        <v>14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73.5" customHeight="1" x14ac:dyDescent="0.25">
      <c r="A6" s="5" t="s">
        <v>15</v>
      </c>
      <c r="B6" s="6" t="s">
        <v>14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7" t="s">
        <v>21</v>
      </c>
      <c r="I6" s="5" t="s">
        <v>22</v>
      </c>
      <c r="J6" s="5" t="s">
        <v>23</v>
      </c>
      <c r="K6" s="5" t="s">
        <v>24</v>
      </c>
      <c r="L6" s="5"/>
      <c r="M6" s="6"/>
    </row>
    <row r="7" spans="1:13" ht="73.5" customHeight="1" x14ac:dyDescent="0.25">
      <c r="A7" s="5" t="s">
        <v>25</v>
      </c>
      <c r="B7" s="6" t="s">
        <v>14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7" t="s">
        <v>21</v>
      </c>
      <c r="I7" s="5" t="s">
        <v>22</v>
      </c>
      <c r="J7" s="5" t="s">
        <v>23</v>
      </c>
      <c r="K7" s="5" t="s">
        <v>24</v>
      </c>
      <c r="L7" s="5"/>
      <c r="M7" s="6"/>
    </row>
    <row r="8" spans="1:13" ht="73.5" customHeight="1" x14ac:dyDescent="0.25">
      <c r="A8" s="5" t="s">
        <v>31</v>
      </c>
      <c r="B8" s="6" t="s">
        <v>14</v>
      </c>
      <c r="C8" s="6" t="s">
        <v>32</v>
      </c>
      <c r="D8" s="6" t="s">
        <v>33</v>
      </c>
      <c r="E8" s="6" t="s">
        <v>34</v>
      </c>
      <c r="F8" s="6" t="s">
        <v>29</v>
      </c>
      <c r="G8" s="6" t="s">
        <v>35</v>
      </c>
      <c r="H8" s="7" t="s">
        <v>21</v>
      </c>
      <c r="I8" s="5" t="s">
        <v>22</v>
      </c>
      <c r="J8" s="5" t="s">
        <v>23</v>
      </c>
      <c r="K8" s="5" t="s">
        <v>24</v>
      </c>
      <c r="L8" s="5"/>
      <c r="M8" s="6"/>
    </row>
    <row r="9" spans="1:13" ht="73.5" customHeight="1" x14ac:dyDescent="0.25">
      <c r="A9" s="5" t="s">
        <v>36</v>
      </c>
      <c r="B9" s="6" t="s">
        <v>14</v>
      </c>
      <c r="C9" s="6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7" t="s">
        <v>21</v>
      </c>
      <c r="I9" s="5" t="s">
        <v>22</v>
      </c>
      <c r="J9" s="5" t="s">
        <v>23</v>
      </c>
      <c r="K9" s="5" t="s">
        <v>24</v>
      </c>
      <c r="L9" s="5"/>
      <c r="M9" s="6"/>
    </row>
    <row r="10" spans="1:13" ht="73.5" customHeight="1" x14ac:dyDescent="0.25">
      <c r="A10" s="5" t="s">
        <v>42</v>
      </c>
      <c r="B10" s="6" t="s">
        <v>14</v>
      </c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7" t="s">
        <v>21</v>
      </c>
      <c r="I10" s="5" t="s">
        <v>48</v>
      </c>
      <c r="J10" s="5" t="s">
        <v>23</v>
      </c>
      <c r="K10" s="5" t="s">
        <v>24</v>
      </c>
      <c r="L10" s="5"/>
      <c r="M10" s="6"/>
    </row>
    <row r="11" spans="1:13" ht="73.5" customHeight="1" x14ac:dyDescent="0.25">
      <c r="A11" s="5" t="s">
        <v>49</v>
      </c>
      <c r="B11" s="6" t="s">
        <v>14</v>
      </c>
      <c r="C11" s="6" t="s">
        <v>50</v>
      </c>
      <c r="D11" s="6" t="s">
        <v>51</v>
      </c>
      <c r="E11" s="6" t="s">
        <v>52</v>
      </c>
      <c r="F11" s="6" t="s">
        <v>53</v>
      </c>
      <c r="G11" s="6" t="s">
        <v>54</v>
      </c>
      <c r="H11" s="7" t="s">
        <v>21</v>
      </c>
      <c r="I11" s="5" t="s">
        <v>48</v>
      </c>
      <c r="J11" s="5" t="s">
        <v>23</v>
      </c>
      <c r="K11" s="5" t="s">
        <v>24</v>
      </c>
      <c r="L11" s="5"/>
      <c r="M11" s="6"/>
    </row>
    <row r="12" spans="1:13" ht="73.5" customHeight="1" x14ac:dyDescent="0.25">
      <c r="A12" s="5" t="s">
        <v>55</v>
      </c>
      <c r="B12" s="6" t="s">
        <v>14</v>
      </c>
      <c r="C12" s="6" t="s">
        <v>56</v>
      </c>
      <c r="D12" s="6" t="s">
        <v>57</v>
      </c>
      <c r="E12" s="6" t="s">
        <v>58</v>
      </c>
      <c r="F12" s="6" t="s">
        <v>59</v>
      </c>
      <c r="G12" s="6" t="s">
        <v>60</v>
      </c>
      <c r="H12" s="8" t="s">
        <v>61</v>
      </c>
      <c r="I12" s="5" t="s">
        <v>48</v>
      </c>
      <c r="J12" s="5" t="s">
        <v>23</v>
      </c>
      <c r="K12" s="5" t="s">
        <v>24</v>
      </c>
      <c r="L12" s="5"/>
      <c r="M12" s="6"/>
    </row>
    <row r="13" spans="1:13" ht="73.5" customHeight="1" x14ac:dyDescent="0.25">
      <c r="A13" s="5" t="s">
        <v>62</v>
      </c>
      <c r="B13" s="6" t="s">
        <v>14</v>
      </c>
      <c r="C13" s="6" t="s">
        <v>63</v>
      </c>
      <c r="D13" s="6" t="s">
        <v>64</v>
      </c>
      <c r="E13" s="6" t="s">
        <v>52</v>
      </c>
      <c r="F13" s="6" t="s">
        <v>65</v>
      </c>
      <c r="G13" s="6" t="s">
        <v>66</v>
      </c>
      <c r="H13" s="7" t="s">
        <v>21</v>
      </c>
      <c r="I13" s="5" t="s">
        <v>22</v>
      </c>
      <c r="J13" s="5" t="s">
        <v>23</v>
      </c>
      <c r="K13" s="5" t="s">
        <v>24</v>
      </c>
      <c r="L13" s="5"/>
      <c r="M13" s="6"/>
    </row>
    <row r="14" spans="1:13" ht="73.5" customHeight="1" x14ac:dyDescent="0.25">
      <c r="A14" s="5" t="s">
        <v>67</v>
      </c>
      <c r="B14" s="6" t="s">
        <v>14</v>
      </c>
      <c r="C14" s="6" t="s">
        <v>68</v>
      </c>
      <c r="D14" s="6" t="s">
        <v>69</v>
      </c>
      <c r="E14" s="6" t="s">
        <v>52</v>
      </c>
      <c r="F14" s="6" t="s">
        <v>70</v>
      </c>
      <c r="G14" s="6" t="s">
        <v>71</v>
      </c>
      <c r="H14" s="9" t="s">
        <v>72</v>
      </c>
      <c r="I14" s="5" t="s">
        <v>22</v>
      </c>
      <c r="J14" s="5" t="s">
        <v>23</v>
      </c>
      <c r="K14" s="5" t="s">
        <v>24</v>
      </c>
      <c r="L14" s="5" t="s">
        <v>73</v>
      </c>
      <c r="M14" s="6" t="s">
        <v>74</v>
      </c>
    </row>
    <row r="15" spans="1:13" ht="73.5" customHeight="1" x14ac:dyDescent="0.25">
      <c r="A15" s="5" t="s">
        <v>75</v>
      </c>
      <c r="B15" s="6" t="s">
        <v>14</v>
      </c>
      <c r="C15" s="6" t="s">
        <v>76</v>
      </c>
      <c r="D15" s="6" t="s">
        <v>77</v>
      </c>
      <c r="E15" s="6" t="s">
        <v>78</v>
      </c>
      <c r="F15" s="6" t="s">
        <v>79</v>
      </c>
      <c r="G15" s="6" t="s">
        <v>80</v>
      </c>
      <c r="H15" s="9" t="s">
        <v>72</v>
      </c>
      <c r="I15" s="5" t="s">
        <v>22</v>
      </c>
      <c r="J15" s="5" t="s">
        <v>23</v>
      </c>
      <c r="K15" s="5" t="s">
        <v>24</v>
      </c>
      <c r="L15" s="5" t="s">
        <v>81</v>
      </c>
      <c r="M15" s="6" t="s">
        <v>82</v>
      </c>
    </row>
    <row r="16" spans="1:13" ht="73.5" customHeight="1" x14ac:dyDescent="0.25">
      <c r="A16" s="5" t="s">
        <v>83</v>
      </c>
      <c r="B16" s="6" t="s">
        <v>14</v>
      </c>
      <c r="C16" s="6" t="s">
        <v>84</v>
      </c>
      <c r="D16" s="6" t="s">
        <v>85</v>
      </c>
      <c r="E16" s="6" t="s">
        <v>86</v>
      </c>
      <c r="F16" s="6" t="s">
        <v>87</v>
      </c>
      <c r="G16" s="6" t="s">
        <v>88</v>
      </c>
      <c r="H16" s="9" t="s">
        <v>72</v>
      </c>
      <c r="I16" s="5" t="s">
        <v>89</v>
      </c>
      <c r="J16" s="5" t="s">
        <v>23</v>
      </c>
      <c r="K16" s="5" t="s">
        <v>24</v>
      </c>
      <c r="L16" s="5" t="s">
        <v>90</v>
      </c>
      <c r="M16" s="6" t="s">
        <v>91</v>
      </c>
    </row>
    <row r="17" spans="1:13" ht="18" customHeight="1" x14ac:dyDescent="0.25">
      <c r="A17" s="1" t="s">
        <v>92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73.5" customHeight="1" x14ac:dyDescent="0.25">
      <c r="A18" s="5" t="s">
        <v>93</v>
      </c>
      <c r="B18" s="6" t="s">
        <v>92</v>
      </c>
      <c r="C18" s="6" t="s">
        <v>94</v>
      </c>
      <c r="D18" s="6" t="s">
        <v>95</v>
      </c>
      <c r="E18" s="6" t="s">
        <v>52</v>
      </c>
      <c r="F18" s="6" t="s">
        <v>96</v>
      </c>
      <c r="G18" s="6" t="s">
        <v>97</v>
      </c>
      <c r="H18" s="7" t="s">
        <v>21</v>
      </c>
      <c r="I18" s="5" t="s">
        <v>48</v>
      </c>
      <c r="J18" s="5" t="s">
        <v>23</v>
      </c>
      <c r="K18" s="5" t="s">
        <v>24</v>
      </c>
      <c r="L18" s="5"/>
      <c r="M18" s="6"/>
    </row>
    <row r="19" spans="1:13" ht="73.5" customHeight="1" x14ac:dyDescent="0.25">
      <c r="A19" s="5" t="s">
        <v>98</v>
      </c>
      <c r="B19" s="6" t="s">
        <v>92</v>
      </c>
      <c r="C19" s="6" t="s">
        <v>99</v>
      </c>
      <c r="D19" s="6" t="s">
        <v>100</v>
      </c>
      <c r="E19" s="6" t="s">
        <v>52</v>
      </c>
      <c r="F19" s="6" t="s">
        <v>101</v>
      </c>
      <c r="G19" s="6" t="s">
        <v>102</v>
      </c>
      <c r="H19" s="7" t="s">
        <v>21</v>
      </c>
      <c r="I19" s="5" t="s">
        <v>48</v>
      </c>
      <c r="J19" s="5" t="s">
        <v>23</v>
      </c>
      <c r="K19" s="5" t="s">
        <v>24</v>
      </c>
      <c r="L19" s="5"/>
      <c r="M19" s="6"/>
    </row>
    <row r="20" spans="1:13" ht="73.5" customHeight="1" x14ac:dyDescent="0.25">
      <c r="A20" s="5" t="s">
        <v>103</v>
      </c>
      <c r="B20" s="6" t="s">
        <v>92</v>
      </c>
      <c r="C20" s="6" t="s">
        <v>104</v>
      </c>
      <c r="D20" s="6" t="s">
        <v>105</v>
      </c>
      <c r="E20" s="6" t="s">
        <v>52</v>
      </c>
      <c r="F20" s="6" t="s">
        <v>106</v>
      </c>
      <c r="G20" s="6" t="s">
        <v>107</v>
      </c>
      <c r="H20" s="7" t="s">
        <v>21</v>
      </c>
      <c r="I20" s="5" t="s">
        <v>89</v>
      </c>
      <c r="J20" s="5" t="s">
        <v>23</v>
      </c>
      <c r="K20" s="5" t="s">
        <v>24</v>
      </c>
      <c r="L20" s="5"/>
      <c r="M20" s="6"/>
    </row>
    <row r="21" spans="1:13" ht="73.5" customHeight="1" x14ac:dyDescent="0.25">
      <c r="A21" s="5" t="s">
        <v>108</v>
      </c>
      <c r="B21" s="6" t="s">
        <v>92</v>
      </c>
      <c r="C21" s="6" t="s">
        <v>109</v>
      </c>
      <c r="D21" s="6" t="s">
        <v>110</v>
      </c>
      <c r="E21" s="6" t="s">
        <v>52</v>
      </c>
      <c r="F21" s="6" t="s">
        <v>111</v>
      </c>
      <c r="G21" s="6" t="s">
        <v>112</v>
      </c>
      <c r="H21" s="7" t="s">
        <v>21</v>
      </c>
      <c r="I21" s="5" t="s">
        <v>89</v>
      </c>
      <c r="J21" s="5" t="s">
        <v>23</v>
      </c>
      <c r="K21" s="5" t="s">
        <v>24</v>
      </c>
      <c r="L21" s="5"/>
      <c r="M21" s="6"/>
    </row>
    <row r="22" spans="1:13" ht="18" customHeight="1" x14ac:dyDescent="0.25">
      <c r="A22" s="1" t="s">
        <v>113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73.5" customHeight="1" x14ac:dyDescent="0.25">
      <c r="A23" s="5" t="s">
        <v>114</v>
      </c>
      <c r="B23" s="6" t="s">
        <v>113</v>
      </c>
      <c r="C23" s="6" t="s">
        <v>115</v>
      </c>
      <c r="D23" s="6" t="s">
        <v>116</v>
      </c>
      <c r="E23" s="6" t="s">
        <v>52</v>
      </c>
      <c r="F23" s="6" t="s">
        <v>117</v>
      </c>
      <c r="G23" s="6" t="s">
        <v>118</v>
      </c>
      <c r="H23" s="7" t="s">
        <v>21</v>
      </c>
      <c r="I23" s="5" t="s">
        <v>48</v>
      </c>
      <c r="J23" s="5" t="s">
        <v>23</v>
      </c>
      <c r="K23" s="5" t="s">
        <v>119</v>
      </c>
      <c r="L23" s="5"/>
      <c r="M23" s="6"/>
    </row>
    <row r="24" spans="1:13" ht="73.5" customHeight="1" x14ac:dyDescent="0.25">
      <c r="A24" s="5" t="s">
        <v>120</v>
      </c>
      <c r="B24" s="6" t="s">
        <v>113</v>
      </c>
      <c r="C24" s="6" t="s">
        <v>121</v>
      </c>
      <c r="D24" s="6" t="s">
        <v>122</v>
      </c>
      <c r="E24" s="6" t="s">
        <v>123</v>
      </c>
      <c r="F24" s="6" t="s">
        <v>124</v>
      </c>
      <c r="G24" s="6" t="s">
        <v>125</v>
      </c>
      <c r="H24" s="7" t="s">
        <v>21</v>
      </c>
      <c r="I24" s="5" t="s">
        <v>22</v>
      </c>
      <c r="J24" s="5" t="s">
        <v>23</v>
      </c>
      <c r="K24" s="5" t="s">
        <v>119</v>
      </c>
      <c r="L24" s="5"/>
      <c r="M24" s="6"/>
    </row>
    <row r="25" spans="1:13" ht="73.5" customHeight="1" x14ac:dyDescent="0.25">
      <c r="A25" s="5" t="s">
        <v>126</v>
      </c>
      <c r="B25" s="6" t="s">
        <v>113</v>
      </c>
      <c r="C25" s="6" t="s">
        <v>127</v>
      </c>
      <c r="D25" s="6" t="s">
        <v>128</v>
      </c>
      <c r="E25" s="6" t="s">
        <v>129</v>
      </c>
      <c r="F25" s="6" t="s">
        <v>130</v>
      </c>
      <c r="G25" s="6" t="s">
        <v>131</v>
      </c>
      <c r="H25" s="7" t="s">
        <v>21</v>
      </c>
      <c r="I25" s="5" t="s">
        <v>22</v>
      </c>
      <c r="J25" s="5" t="s">
        <v>23</v>
      </c>
      <c r="K25" s="5" t="s">
        <v>119</v>
      </c>
      <c r="L25" s="5"/>
      <c r="M25" s="6"/>
    </row>
    <row r="26" spans="1:13" ht="73.5" customHeight="1" x14ac:dyDescent="0.25">
      <c r="A26" s="5" t="s">
        <v>132</v>
      </c>
      <c r="B26" s="6" t="s">
        <v>113</v>
      </c>
      <c r="C26" s="6" t="s">
        <v>133</v>
      </c>
      <c r="D26" s="6" t="s">
        <v>134</v>
      </c>
      <c r="E26" s="6" t="s">
        <v>135</v>
      </c>
      <c r="F26" s="6" t="s">
        <v>136</v>
      </c>
      <c r="G26" s="6" t="s">
        <v>137</v>
      </c>
      <c r="H26" s="7" t="s">
        <v>21</v>
      </c>
      <c r="I26" s="5" t="s">
        <v>89</v>
      </c>
      <c r="J26" s="5" t="s">
        <v>23</v>
      </c>
      <c r="K26" s="5" t="s">
        <v>119</v>
      </c>
      <c r="L26" s="5"/>
      <c r="M26" s="6"/>
    </row>
    <row r="27" spans="1:13" ht="73.5" customHeight="1" x14ac:dyDescent="0.25">
      <c r="A27" s="5" t="s">
        <v>138</v>
      </c>
      <c r="B27" s="6" t="s">
        <v>113</v>
      </c>
      <c r="C27" s="6" t="s">
        <v>139</v>
      </c>
      <c r="D27" s="6" t="s">
        <v>140</v>
      </c>
      <c r="E27" s="6" t="s">
        <v>141</v>
      </c>
      <c r="F27" s="6" t="s">
        <v>142</v>
      </c>
      <c r="G27" s="6" t="s">
        <v>143</v>
      </c>
      <c r="H27" s="9" t="s">
        <v>72</v>
      </c>
      <c r="I27" s="5" t="s">
        <v>48</v>
      </c>
      <c r="J27" s="5" t="s">
        <v>23</v>
      </c>
      <c r="K27" s="5" t="s">
        <v>119</v>
      </c>
      <c r="L27" s="5" t="s">
        <v>144</v>
      </c>
      <c r="M27" s="6" t="s">
        <v>145</v>
      </c>
    </row>
    <row r="28" spans="1:13" ht="73.5" customHeight="1" x14ac:dyDescent="0.25">
      <c r="A28" s="5" t="s">
        <v>146</v>
      </c>
      <c r="B28" s="6" t="s">
        <v>113</v>
      </c>
      <c r="C28" s="6" t="s">
        <v>147</v>
      </c>
      <c r="D28" s="6" t="s">
        <v>148</v>
      </c>
      <c r="E28" s="6" t="s">
        <v>149</v>
      </c>
      <c r="F28" s="6" t="s">
        <v>150</v>
      </c>
      <c r="G28" s="6" t="s">
        <v>151</v>
      </c>
      <c r="H28" s="9" t="s">
        <v>72</v>
      </c>
      <c r="I28" s="5" t="s">
        <v>89</v>
      </c>
      <c r="J28" s="5" t="s">
        <v>23</v>
      </c>
      <c r="K28" s="5" t="s">
        <v>119</v>
      </c>
      <c r="L28" s="5" t="s">
        <v>152</v>
      </c>
      <c r="M28" s="6" t="s">
        <v>153</v>
      </c>
    </row>
    <row r="29" spans="1:13" ht="18" customHeight="1" x14ac:dyDescent="0.25">
      <c r="A29" s="1" t="s">
        <v>154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73.5" customHeight="1" x14ac:dyDescent="0.25">
      <c r="A30" s="5" t="s">
        <v>155</v>
      </c>
      <c r="B30" s="6" t="s">
        <v>154</v>
      </c>
      <c r="C30" s="6" t="s">
        <v>156</v>
      </c>
      <c r="D30" s="6" t="s">
        <v>157</v>
      </c>
      <c r="E30" s="6" t="s">
        <v>52</v>
      </c>
      <c r="F30" s="6" t="s">
        <v>158</v>
      </c>
      <c r="G30" s="6" t="s">
        <v>159</v>
      </c>
      <c r="H30" s="7" t="s">
        <v>21</v>
      </c>
      <c r="I30" s="5" t="s">
        <v>48</v>
      </c>
      <c r="J30" s="5" t="s">
        <v>23</v>
      </c>
      <c r="K30" s="5" t="s">
        <v>119</v>
      </c>
      <c r="L30" s="5"/>
      <c r="M30" s="6"/>
    </row>
    <row r="31" spans="1:13" ht="73.5" customHeight="1" x14ac:dyDescent="0.25">
      <c r="A31" s="5" t="s">
        <v>160</v>
      </c>
      <c r="B31" s="6" t="s">
        <v>154</v>
      </c>
      <c r="C31" s="6" t="s">
        <v>161</v>
      </c>
      <c r="D31" s="6" t="s">
        <v>162</v>
      </c>
      <c r="E31" s="6" t="s">
        <v>163</v>
      </c>
      <c r="F31" s="6" t="s">
        <v>164</v>
      </c>
      <c r="G31" s="6" t="s">
        <v>165</v>
      </c>
      <c r="H31" s="7" t="s">
        <v>21</v>
      </c>
      <c r="I31" s="5" t="s">
        <v>22</v>
      </c>
      <c r="J31" s="5" t="s">
        <v>23</v>
      </c>
      <c r="K31" s="5" t="s">
        <v>119</v>
      </c>
      <c r="L31" s="5"/>
      <c r="M31" s="6"/>
    </row>
    <row r="32" spans="1:13" ht="73.5" customHeight="1" x14ac:dyDescent="0.25">
      <c r="A32" s="5" t="s">
        <v>166</v>
      </c>
      <c r="B32" s="6" t="s">
        <v>154</v>
      </c>
      <c r="C32" s="6" t="s">
        <v>167</v>
      </c>
      <c r="D32" s="6" t="s">
        <v>168</v>
      </c>
      <c r="E32" s="6" t="s">
        <v>169</v>
      </c>
      <c r="F32" s="6" t="s">
        <v>170</v>
      </c>
      <c r="G32" s="6" t="s">
        <v>171</v>
      </c>
      <c r="H32" s="7" t="s">
        <v>21</v>
      </c>
      <c r="I32" s="5" t="s">
        <v>48</v>
      </c>
      <c r="J32" s="5" t="s">
        <v>23</v>
      </c>
      <c r="K32" s="5" t="s">
        <v>119</v>
      </c>
      <c r="L32" s="5"/>
      <c r="M32" s="6"/>
    </row>
    <row r="33" spans="1:13" ht="73.5" customHeight="1" x14ac:dyDescent="0.25">
      <c r="A33" s="5" t="s">
        <v>172</v>
      </c>
      <c r="B33" s="6" t="s">
        <v>154</v>
      </c>
      <c r="C33" s="6" t="s">
        <v>173</v>
      </c>
      <c r="D33" s="6" t="s">
        <v>174</v>
      </c>
      <c r="E33" s="6" t="s">
        <v>175</v>
      </c>
      <c r="F33" s="6" t="s">
        <v>176</v>
      </c>
      <c r="G33" s="6" t="s">
        <v>177</v>
      </c>
      <c r="H33" s="7" t="s">
        <v>21</v>
      </c>
      <c r="I33" s="5" t="s">
        <v>48</v>
      </c>
      <c r="J33" s="5" t="s">
        <v>23</v>
      </c>
      <c r="K33" s="5" t="s">
        <v>119</v>
      </c>
      <c r="L33" s="5"/>
      <c r="M33" s="6"/>
    </row>
    <row r="34" spans="1:13" ht="73.5" customHeight="1" x14ac:dyDescent="0.25">
      <c r="A34" s="5" t="s">
        <v>178</v>
      </c>
      <c r="B34" s="6" t="s">
        <v>154</v>
      </c>
      <c r="C34" s="6" t="s">
        <v>179</v>
      </c>
      <c r="D34" s="6" t="s">
        <v>180</v>
      </c>
      <c r="E34" s="6" t="s">
        <v>181</v>
      </c>
      <c r="F34" s="6" t="s">
        <v>182</v>
      </c>
      <c r="G34" s="6" t="s">
        <v>183</v>
      </c>
      <c r="H34" s="7" t="s">
        <v>21</v>
      </c>
      <c r="I34" s="5" t="s">
        <v>22</v>
      </c>
      <c r="J34" s="5" t="s">
        <v>23</v>
      </c>
      <c r="K34" s="5" t="s">
        <v>119</v>
      </c>
      <c r="L34" s="5"/>
      <c r="M34" s="6"/>
    </row>
    <row r="35" spans="1:13" ht="18" customHeight="1" x14ac:dyDescent="0.25">
      <c r="A35" s="1" t="s">
        <v>184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73.5" customHeight="1" x14ac:dyDescent="0.25">
      <c r="A36" s="5" t="s">
        <v>185</v>
      </c>
      <c r="B36" s="6" t="s">
        <v>184</v>
      </c>
      <c r="C36" s="6" t="s">
        <v>186</v>
      </c>
      <c r="D36" s="6" t="s">
        <v>187</v>
      </c>
      <c r="E36" s="6" t="s">
        <v>52</v>
      </c>
      <c r="F36" s="6" t="s">
        <v>188</v>
      </c>
      <c r="G36" s="6" t="s">
        <v>189</v>
      </c>
      <c r="H36" s="7" t="s">
        <v>21</v>
      </c>
      <c r="I36" s="5" t="s">
        <v>48</v>
      </c>
      <c r="J36" s="5" t="s">
        <v>23</v>
      </c>
      <c r="K36" s="5" t="s">
        <v>119</v>
      </c>
      <c r="L36" s="5"/>
      <c r="M36" s="6"/>
    </row>
    <row r="37" spans="1:13" ht="73.5" customHeight="1" x14ac:dyDescent="0.25">
      <c r="A37" s="5" t="s">
        <v>190</v>
      </c>
      <c r="B37" s="6" t="s">
        <v>184</v>
      </c>
      <c r="C37" s="6" t="s">
        <v>191</v>
      </c>
      <c r="D37" s="6" t="s">
        <v>192</v>
      </c>
      <c r="E37" s="6" t="s">
        <v>193</v>
      </c>
      <c r="F37" s="6" t="s">
        <v>194</v>
      </c>
      <c r="G37" s="6" t="s">
        <v>195</v>
      </c>
      <c r="H37" s="7" t="s">
        <v>21</v>
      </c>
      <c r="I37" s="5" t="s">
        <v>22</v>
      </c>
      <c r="J37" s="5" t="s">
        <v>23</v>
      </c>
      <c r="K37" s="5" t="s">
        <v>119</v>
      </c>
      <c r="L37" s="5"/>
      <c r="M37" s="6"/>
    </row>
    <row r="38" spans="1:13" ht="73.5" customHeight="1" x14ac:dyDescent="0.25">
      <c r="A38" s="5" t="s">
        <v>196</v>
      </c>
      <c r="B38" s="6" t="s">
        <v>184</v>
      </c>
      <c r="C38" s="6" t="s">
        <v>197</v>
      </c>
      <c r="D38" s="6" t="s">
        <v>198</v>
      </c>
      <c r="E38" s="6" t="s">
        <v>199</v>
      </c>
      <c r="F38" s="6" t="s">
        <v>200</v>
      </c>
      <c r="G38" s="6" t="s">
        <v>201</v>
      </c>
      <c r="H38" s="7" t="s">
        <v>21</v>
      </c>
      <c r="I38" s="5" t="s">
        <v>48</v>
      </c>
      <c r="J38" s="5" t="s">
        <v>23</v>
      </c>
      <c r="K38" s="5" t="s">
        <v>119</v>
      </c>
      <c r="L38" s="5"/>
      <c r="M38" s="6"/>
    </row>
    <row r="39" spans="1:13" ht="73.5" customHeight="1" x14ac:dyDescent="0.25">
      <c r="A39" s="5" t="s">
        <v>202</v>
      </c>
      <c r="B39" s="6" t="s">
        <v>184</v>
      </c>
      <c r="C39" s="6" t="s">
        <v>203</v>
      </c>
      <c r="D39" s="6" t="s">
        <v>204</v>
      </c>
      <c r="E39" s="6" t="s">
        <v>52</v>
      </c>
      <c r="F39" s="6" t="s">
        <v>205</v>
      </c>
      <c r="G39" s="6" t="s">
        <v>206</v>
      </c>
      <c r="H39" s="7" t="s">
        <v>21</v>
      </c>
      <c r="I39" s="5" t="s">
        <v>22</v>
      </c>
      <c r="J39" s="5" t="s">
        <v>23</v>
      </c>
      <c r="K39" s="5" t="s">
        <v>119</v>
      </c>
      <c r="L39" s="5"/>
      <c r="M39" s="6"/>
    </row>
    <row r="40" spans="1:13" ht="73.5" customHeight="1" x14ac:dyDescent="0.25">
      <c r="A40" s="5" t="s">
        <v>207</v>
      </c>
      <c r="B40" s="6" t="s">
        <v>184</v>
      </c>
      <c r="C40" s="6" t="s">
        <v>208</v>
      </c>
      <c r="D40" s="6" t="s">
        <v>209</v>
      </c>
      <c r="E40" s="6" t="s">
        <v>210</v>
      </c>
      <c r="F40" s="6" t="s">
        <v>211</v>
      </c>
      <c r="G40" s="6" t="s">
        <v>212</v>
      </c>
      <c r="H40" s="8" t="s">
        <v>61</v>
      </c>
      <c r="I40" s="5" t="s">
        <v>22</v>
      </c>
      <c r="J40" s="5" t="s">
        <v>23</v>
      </c>
      <c r="K40" s="5" t="s">
        <v>119</v>
      </c>
      <c r="L40" s="5"/>
      <c r="M40" s="6"/>
    </row>
    <row r="41" spans="1:13" ht="18" customHeight="1" x14ac:dyDescent="0.25">
      <c r="A41" s="1" t="s">
        <v>213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73.5" customHeight="1" x14ac:dyDescent="0.25">
      <c r="A42" s="5" t="s">
        <v>214</v>
      </c>
      <c r="B42" s="6" t="s">
        <v>213</v>
      </c>
      <c r="C42" s="6" t="s">
        <v>215</v>
      </c>
      <c r="D42" s="6" t="s">
        <v>216</v>
      </c>
      <c r="E42" s="6" t="s">
        <v>52</v>
      </c>
      <c r="F42" s="6" t="s">
        <v>217</v>
      </c>
      <c r="G42" s="6" t="s">
        <v>218</v>
      </c>
      <c r="H42" s="7" t="s">
        <v>21</v>
      </c>
      <c r="I42" s="5" t="s">
        <v>48</v>
      </c>
      <c r="J42" s="5" t="s">
        <v>23</v>
      </c>
      <c r="K42" s="5" t="s">
        <v>119</v>
      </c>
      <c r="L42" s="5"/>
      <c r="M42" s="6"/>
    </row>
    <row r="43" spans="1:13" ht="73.5" customHeight="1" x14ac:dyDescent="0.25">
      <c r="A43" s="5" t="s">
        <v>219</v>
      </c>
      <c r="B43" s="6" t="s">
        <v>213</v>
      </c>
      <c r="C43" s="6" t="s">
        <v>220</v>
      </c>
      <c r="D43" s="6" t="s">
        <v>221</v>
      </c>
      <c r="E43" s="6" t="s">
        <v>222</v>
      </c>
      <c r="F43" s="6" t="s">
        <v>223</v>
      </c>
      <c r="G43" s="6" t="s">
        <v>224</v>
      </c>
      <c r="H43" s="7" t="s">
        <v>21</v>
      </c>
      <c r="I43" s="5" t="s">
        <v>22</v>
      </c>
      <c r="J43" s="5" t="s">
        <v>23</v>
      </c>
      <c r="K43" s="5" t="s">
        <v>119</v>
      </c>
      <c r="L43" s="5"/>
      <c r="M43" s="6"/>
    </row>
    <row r="44" spans="1:13" ht="73.5" customHeight="1" x14ac:dyDescent="0.25">
      <c r="A44" s="5" t="s">
        <v>225</v>
      </c>
      <c r="B44" s="6" t="s">
        <v>213</v>
      </c>
      <c r="C44" s="6" t="s">
        <v>226</v>
      </c>
      <c r="D44" s="6" t="s">
        <v>227</v>
      </c>
      <c r="E44" s="6" t="s">
        <v>228</v>
      </c>
      <c r="F44" s="6" t="s">
        <v>229</v>
      </c>
      <c r="G44" s="6" t="s">
        <v>230</v>
      </c>
      <c r="H44" s="7" t="s">
        <v>21</v>
      </c>
      <c r="I44" s="5" t="s">
        <v>22</v>
      </c>
      <c r="J44" s="5" t="s">
        <v>23</v>
      </c>
      <c r="K44" s="5" t="s">
        <v>119</v>
      </c>
      <c r="L44" s="5"/>
      <c r="M44" s="6"/>
    </row>
    <row r="45" spans="1:13" ht="73.5" customHeight="1" x14ac:dyDescent="0.25">
      <c r="A45" s="5" t="s">
        <v>231</v>
      </c>
      <c r="B45" s="6" t="s">
        <v>213</v>
      </c>
      <c r="C45" s="6" t="s">
        <v>232</v>
      </c>
      <c r="D45" s="6" t="s">
        <v>233</v>
      </c>
      <c r="E45" s="6" t="s">
        <v>234</v>
      </c>
      <c r="F45" s="6" t="s">
        <v>235</v>
      </c>
      <c r="G45" s="6" t="s">
        <v>236</v>
      </c>
      <c r="H45" s="7" t="s">
        <v>21</v>
      </c>
      <c r="I45" s="5" t="s">
        <v>22</v>
      </c>
      <c r="J45" s="5" t="s">
        <v>23</v>
      </c>
      <c r="K45" s="5" t="s">
        <v>119</v>
      </c>
      <c r="L45" s="5"/>
      <c r="M45" s="6"/>
    </row>
    <row r="46" spans="1:13" ht="18" customHeight="1" x14ac:dyDescent="0.25">
      <c r="A46" s="1" t="s">
        <v>237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73.5" customHeight="1" x14ac:dyDescent="0.25">
      <c r="A47" s="5" t="s">
        <v>238</v>
      </c>
      <c r="B47" s="6" t="s">
        <v>237</v>
      </c>
      <c r="C47" s="6" t="s">
        <v>239</v>
      </c>
      <c r="D47" s="6" t="s">
        <v>240</v>
      </c>
      <c r="E47" s="6" t="s">
        <v>52</v>
      </c>
      <c r="F47" s="6" t="s">
        <v>241</v>
      </c>
      <c r="G47" s="6" t="s">
        <v>242</v>
      </c>
      <c r="H47" s="7" t="s">
        <v>21</v>
      </c>
      <c r="I47" s="5" t="s">
        <v>48</v>
      </c>
      <c r="J47" s="5" t="s">
        <v>23</v>
      </c>
      <c r="K47" s="5" t="s">
        <v>119</v>
      </c>
      <c r="L47" s="5"/>
      <c r="M47" s="6"/>
    </row>
    <row r="48" spans="1:13" ht="73.5" customHeight="1" x14ac:dyDescent="0.25">
      <c r="A48" s="5"/>
      <c r="B48" s="6"/>
      <c r="C48" s="6"/>
      <c r="D48" s="6"/>
      <c r="E48" s="6"/>
      <c r="F48" s="6"/>
      <c r="G48" s="6"/>
      <c r="H48" s="9"/>
      <c r="I48" s="5"/>
      <c r="J48" s="5"/>
      <c r="K48" s="5"/>
      <c r="L48" s="5"/>
      <c r="M48" s="6"/>
    </row>
    <row r="50" spans="1:2" x14ac:dyDescent="0.25">
      <c r="A50" s="10" t="s">
        <v>243</v>
      </c>
    </row>
    <row r="51" spans="1:2" x14ac:dyDescent="0.25">
      <c r="A51" s="11" t="s">
        <v>244</v>
      </c>
      <c r="B51" s="12">
        <f>COUNTA(A5:A48)-COUNTBLANK(H5:H48)</f>
        <v>35</v>
      </c>
    </row>
    <row r="52" spans="1:2" x14ac:dyDescent="0.25">
      <c r="A52" s="11" t="s">
        <v>245</v>
      </c>
      <c r="B52" s="12">
        <f>COUNTIF(H5:H48,"Pass")</f>
        <v>29</v>
      </c>
    </row>
    <row r="53" spans="1:2" x14ac:dyDescent="0.25">
      <c r="A53" s="11" t="s">
        <v>246</v>
      </c>
      <c r="B53" s="12">
        <f>COUNTIF(H5:H48,"Fail")</f>
        <v>5</v>
      </c>
    </row>
    <row r="54" spans="1:2" x14ac:dyDescent="0.25">
      <c r="A54" s="11" t="s">
        <v>61</v>
      </c>
      <c r="B54" s="12">
        <f>COUNTIF(H5:H48,"Blocked")</f>
        <v>2</v>
      </c>
    </row>
    <row r="55" spans="1:2" x14ac:dyDescent="0.25">
      <c r="A55" s="11" t="s">
        <v>247</v>
      </c>
      <c r="B55" s="12">
        <f>COUNTA(L5:L48)</f>
        <v>5</v>
      </c>
    </row>
    <row r="56" spans="1:2" x14ac:dyDescent="0.25">
      <c r="A56" s="11" t="s">
        <v>248</v>
      </c>
      <c r="B56" s="13">
        <f>B52/B51</f>
        <v>0.82857142857142863</v>
      </c>
    </row>
  </sheetData>
  <autoFilter ref="A4:M48" xr:uid="{00000000-0009-0000-0000-000000000000}"/>
  <mergeCells count="9">
    <mergeCell ref="A29:M29"/>
    <mergeCell ref="A35:M35"/>
    <mergeCell ref="A41:M41"/>
    <mergeCell ref="A46:M46"/>
    <mergeCell ref="A1:M1"/>
    <mergeCell ref="A2:M2"/>
    <mergeCell ref="A5:M5"/>
    <mergeCell ref="A17:M17"/>
    <mergeCell ref="A22:M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&amp; Execution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jayant bansal</cp:lastModifiedBy>
  <cp:revision>0</cp:revision>
  <dcterms:created xsi:type="dcterms:W3CDTF">2026-09-16T21:16:27Z</dcterms:created>
  <dcterms:modified xsi:type="dcterms:W3CDTF">2026-09-16T23:17:07Z</dcterms:modified>
  <dc:language>en-US</dc:language>
</cp:coreProperties>
</file>