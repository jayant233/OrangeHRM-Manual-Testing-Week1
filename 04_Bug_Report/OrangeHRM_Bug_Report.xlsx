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y23\Downloads\"/>
    </mc:Choice>
  </mc:AlternateContent>
  <xr:revisionPtr revIDLastSave="0" documentId="13_ncr:1_{ED0C8CDA-DAD9-40FF-9217-E1FCBD94CCE3}" xr6:coauthVersionLast="47" xr6:coauthVersionMax="47" xr10:uidLastSave="{00000000-0000-0000-0000-000000000000}"/>
  <bookViews>
    <workbookView xWindow="-120" yWindow="-120" windowWidth="20730" windowHeight="11160" tabRatio="500" xr2:uid="{00000000-000D-0000-FFFF-FFFF00000000}"/>
  </bookViews>
  <sheets>
    <sheet name="Bug Report" sheetId="1" r:id="rId1"/>
  </sheets>
  <definedNames>
    <definedName name="_xlnm._FilterDatabase" localSheetId="0" hidden="1">'Bug Report'!$A$4:$L$10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18" i="1" l="1"/>
  <c r="B17" i="1"/>
  <c r="B16" i="1"/>
  <c r="B15" i="1"/>
  <c r="B14" i="1"/>
  <c r="B13" i="1"/>
</calcChain>
</file>

<file path=xl/sharedStrings.xml><?xml version="1.0" encoding="utf-8"?>
<sst xmlns="http://schemas.openxmlformats.org/spreadsheetml/2006/main" count="81" uniqueCount="63">
  <si>
    <t>OrangeHRM – Defect / Bug Report</t>
  </si>
  <si>
    <t>Bug ID</t>
  </si>
  <si>
    <t>Bug Title</t>
  </si>
  <si>
    <t>Module</t>
  </si>
  <si>
    <t>Test Case ID</t>
  </si>
  <si>
    <t>Steps to Reproduce</t>
  </si>
  <si>
    <t>Expected Result</t>
  </si>
  <si>
    <t>Actual Result</t>
  </si>
  <si>
    <t>Severity</t>
  </si>
  <si>
    <t>Priority</t>
  </si>
  <si>
    <t>Status</t>
  </si>
  <si>
    <t>Screenshot</t>
  </si>
  <si>
    <t>Notes</t>
  </si>
  <si>
    <t>BUG_001</t>
  </si>
  <si>
    <t>Session is not invalidated after logout – protected pages remain viewable via the browser Back button</t>
  </si>
  <si>
    <t>Login / Authentication</t>
  </si>
  <si>
    <t>TC_009</t>
  </si>
  <si>
    <t>1. Navigate to https://opensource-demo.orangehrmlive.com/
2. Log in as Admin / admin123
3. Navigate to PIM &gt; Employee List and wait for the records to load
4. Click the profile icon (top-right) and select Logout
5. Confirm the Login page is displayed
6. Press the browser Back button once</t>
  </si>
  <si>
    <t>The user remains logged out. The application redirects back to the Login page and no authenticated content is rendered.</t>
  </si>
  <si>
    <t>The previously visited Employee List page is restored from the browser cache with employee names and records still readable. The protected view is exposed to anyone with physical access to the machine after the user has logged out.</t>
  </si>
  <si>
    <t>Critical</t>
  </si>
  <si>
    <t>High</t>
  </si>
  <si>
    <t>Open</t>
  </si>
  <si>
    <t>BUG_001.png</t>
  </si>
  <si>
    <t>Reproduced 3/3 times in Chrome 129 and 2/2 times in Firefox 130. Cache-Control / no-store headers appear to be missing on authenticated pages.</t>
  </si>
  <si>
    <t>BUG_002</t>
  </si>
  <si>
    <t>No account lockout or throttling is applied after repeated failed login attempts</t>
  </si>
  <si>
    <t>TC_010</t>
  </si>
  <si>
    <t>1. Navigate to https://opensource-demo.orangehrmlive.com/
2. Enter Username: Admin and Password: wrongpass
3. Click Login and observe the error
4. Repeat steps 2–3 ten consecutive times
5. Observe whether any lockout, delay or CAPTCHA is applied</t>
  </si>
  <si>
    <t>After a defined threshold (commonly 3–5 attempts) the account is temporarily locked, a progressive delay is applied, or a CAPTCHA challenge is presented.</t>
  </si>
  <si>
    <t>All ten consecutive failed attempts were processed immediately and returned only "Invalid credentials". No lockout, rate limit, delay or CAPTCHA was applied at any point, leaving the login endpoint open to unlimited password guessing.</t>
  </si>
  <si>
    <t>BUG_002.png</t>
  </si>
  <si>
    <t>Verified against OWASP WSTG-ATHN-03 (Testing for Weak Lock Out Mechanism). Attempts were made manually at roughly 3-second intervals.</t>
  </si>
  <si>
    <t>BUG_003</t>
  </si>
  <si>
    <t>Username is not trimmed – valid credentials are rejected when surrounding whitespace is present</t>
  </si>
  <si>
    <t>TC_011</t>
  </si>
  <si>
    <t>1. Navigate to https://opensource-demo.orangehrmlive.com/
2. In the Username field enter "  Admin  " including the leading and trailing spaces
3. Enter Password: admin123
4. Click Login</t>
  </si>
  <si>
    <t>Leading and trailing whitespace is trimmed from the username before authentication and the user logs in successfully.</t>
  </si>
  <si>
    <t>Login is rejected with "Invalid credentials". The whitespace is submitted as part of the username, so a user who copy-pastes their username from an email or document is blocked without being told why.</t>
  </si>
  <si>
    <t>Low</t>
  </si>
  <si>
    <t>Medium</t>
  </si>
  <si>
    <t>BUG_003.png</t>
  </si>
  <si>
    <t>Commonly hit when credentials are pasted from a welcome email. The password field is expected to remain untrimmed; this report covers the username only.</t>
  </si>
  <si>
    <t>BUG_004</t>
  </si>
  <si>
    <t>Oversized profile photo is rejected without stating the maximum permitted file size</t>
  </si>
  <si>
    <t>PIM – Add Employee</t>
  </si>
  <si>
    <t>TC_020</t>
  </si>
  <si>
    <t>1. Log in as Admin
2. Navigate to PIM &gt; Add Employee
3. Click the profile photo placeholder
4. Select a .jpg image of approximately 3 MB
5. Complete First Name and Last Name and click Save
6. Read the error message displayed</t>
  </si>
  <si>
    <t>The upload is rejected with a specific, actionable message naming the maximum permitted file size, for example "File size exceeds the maximum limit of 1 MB".</t>
  </si>
  <si>
    <t>The upload is rejected, but the message does not state the size limit. The user has no way to know how far over the limit the file is or what size would be accepted, so they must guess and retry.</t>
  </si>
  <si>
    <t>BUG_004.png</t>
  </si>
  <si>
    <t>Usability / error-handling defect rather than a functional break – the rejection itself works correctly.</t>
  </si>
  <si>
    <t>BUG_005</t>
  </si>
  <si>
    <t>Employee Id field accepts special characters with no format validation</t>
  </si>
  <si>
    <t>TC_021</t>
  </si>
  <si>
    <t>1. Log in as Admin
2. Navigate to PIM &gt; Add Employee
3. Enter First Name: Test and Last Name: Record
4. Clear the auto-generated Employee Id and enter: @@##$$%%
5. Click Save
6. Navigate to PIM &gt; Employee List and locate the record</t>
  </si>
  <si>
    <t>The field validates its input and rejects special characters, or restricts the identifier to an alphanumeric format.</t>
  </si>
  <si>
    <t>The record is saved successfully with the Employee Id "@@##$$%%" and the value is displayed verbatim in the Employee List. Invalid identifiers can therefore enter the employee master data and may break downstream reports or integrations.</t>
  </si>
  <si>
    <t>BUG_005.png</t>
  </si>
  <si>
    <t>Data-integrity defect. An empty Employee Id is also accepted, which may be intentional; that behaviour is not covered by this report.</t>
  </si>
  <si>
    <t>DEFECT SUMMARY</t>
  </si>
  <si>
    <t>Total defects logged</t>
  </si>
  <si>
    <t>Application: https://opensource-demo.orangehrmlive.com/  |  Environment: Chrome 129, Windows 11  |  Reported by: Jayant Bansal  |  Reported on: 16-Sep-2026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</si>
</sst>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2F5496"/>
      <name val="Arial"/>
      <charset val="1"/>
    </font>
    <font>
      <i/>
      <sz val="9"/>
      <color rgb="FF595959"/>
      <name val="Arial"/>
      <charset val="1"/>
    </font>
    <font>
      <b/>
      <sz val="10"/>
      <color rgb="FFFFFFFF"/>
      <name val="Arial"/>
      <charset val="1"/>
    </font>
    <font>
      <sz val="10"/>
      <name val="Arial"/>
      <charset val="1"/>
    </font>
    <font>
      <b/>
      <sz val="10"/>
      <name val="Arial"/>
      <charset val="1"/>
    </font>
    <font>
      <b/>
      <sz val="11"/>
      <color rgb="FF2F5496"/>
      <name val="Arial"/>
      <charset val="1"/>
    </font>
  </fonts>
  <fills count="8">
    <fill>
      <patternFill patternType="none"/>
    </fill>
    <fill>
      <patternFill patternType="gray125"/>
    </fill>
    <fill>
      <patternFill patternType="solid">
        <fgColor rgb="FF2F5496"/>
        <bgColor rgb="FF595959"/>
      </patternFill>
    </fill>
    <fill>
      <patternFill patternType="solid">
        <fgColor rgb="FFFFC7CE"/>
        <bgColor rgb="FFFFD9CC"/>
      </patternFill>
    </fill>
    <fill>
      <patternFill patternType="solid">
        <fgColor rgb="FFFFD9CC"/>
        <bgColor rgb="FFFFC7CE"/>
      </patternFill>
    </fill>
    <fill>
      <patternFill patternType="solid">
        <fgColor rgb="FFE2EFDA"/>
        <bgColor rgb="FFD9D9D9"/>
      </patternFill>
    </fill>
    <fill>
      <patternFill patternType="solid">
        <fgColor rgb="FFFFEB9C"/>
        <bgColor rgb="FFFFD9CC"/>
      </patternFill>
    </fill>
    <fill>
      <patternFill patternType="solid">
        <fgColor theme="0"/>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0" borderId="0" xfId="0" applyFont="1"/>
    <xf numFmtId="0" fontId="4" fillId="0" borderId="0" xfId="0" applyFont="1"/>
    <xf numFmtId="0" fontId="5" fillId="0" borderId="0" xfId="0" applyFont="1"/>
    <xf numFmtId="0" fontId="5" fillId="7"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D9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topLeftCell="F1" zoomScaleNormal="100" workbookViewId="0">
      <pane ySplit="4" topLeftCell="A9" activePane="bottomLeft" state="frozen"/>
      <selection pane="bottomLeft" activeCell="H10" sqref="H10"/>
    </sheetView>
  </sheetViews>
  <sheetFormatPr defaultColWidth="8.7109375" defaultRowHeight="15" x14ac:dyDescent="0.25"/>
  <cols>
    <col min="1" max="1" width="10" customWidth="1"/>
    <col min="2" max="2" width="38" customWidth="1"/>
    <col min="3" max="3" width="20" customWidth="1"/>
    <col min="4" max="4" width="11" customWidth="1"/>
    <col min="5" max="5" width="44" customWidth="1"/>
    <col min="6" max="6" width="34" customWidth="1"/>
    <col min="7" max="7" width="38" customWidth="1"/>
    <col min="8" max="8" width="11" customWidth="1"/>
    <col min="9" max="9" width="10" customWidth="1"/>
    <col min="10" max="10" width="9" customWidth="1"/>
    <col min="11" max="11" width="13" customWidth="1"/>
    <col min="12" max="12" width="32" customWidth="1"/>
  </cols>
  <sheetData>
    <row r="1" spans="1:12" ht="25.5" customHeight="1" x14ac:dyDescent="0.25">
      <c r="A1" s="2" t="s">
        <v>0</v>
      </c>
      <c r="B1" s="2"/>
      <c r="C1" s="2"/>
      <c r="D1" s="2"/>
      <c r="E1" s="2"/>
      <c r="F1" s="2"/>
      <c r="G1" s="2"/>
      <c r="H1" s="2"/>
      <c r="I1" s="2"/>
      <c r="J1" s="2"/>
      <c r="K1" s="2"/>
    </row>
    <row r="2" spans="1:12" ht="15" customHeight="1" x14ac:dyDescent="0.25">
      <c r="A2" s="1" t="s">
        <v>62</v>
      </c>
      <c r="B2" s="1"/>
      <c r="C2" s="1"/>
      <c r="D2" s="1"/>
      <c r="E2" s="1"/>
      <c r="F2" s="1"/>
      <c r="G2" s="1"/>
      <c r="H2" s="1"/>
      <c r="I2" s="1"/>
      <c r="J2" s="1"/>
      <c r="K2" s="1"/>
    </row>
    <row r="4" spans="1:12" ht="27.75" customHeight="1" x14ac:dyDescent="0.25">
      <c r="A4" s="3" t="s">
        <v>1</v>
      </c>
      <c r="B4" s="3" t="s">
        <v>2</v>
      </c>
      <c r="C4" s="3" t="s">
        <v>3</v>
      </c>
      <c r="D4" s="3" t="s">
        <v>4</v>
      </c>
      <c r="E4" s="3" t="s">
        <v>5</v>
      </c>
      <c r="F4" s="3" t="s">
        <v>6</v>
      </c>
      <c r="G4" s="3" t="s">
        <v>7</v>
      </c>
      <c r="H4" s="3" t="s">
        <v>8</v>
      </c>
      <c r="I4" s="3" t="s">
        <v>9</v>
      </c>
      <c r="J4" s="3" t="s">
        <v>10</v>
      </c>
      <c r="K4" s="3" t="s">
        <v>11</v>
      </c>
      <c r="L4" s="3" t="s">
        <v>12</v>
      </c>
    </row>
    <row r="5" spans="1:12" ht="117.75" customHeight="1" x14ac:dyDescent="0.25">
      <c r="A5" s="4" t="s">
        <v>13</v>
      </c>
      <c r="B5" s="5" t="s">
        <v>14</v>
      </c>
      <c r="C5" s="5" t="s">
        <v>15</v>
      </c>
      <c r="D5" s="4" t="s">
        <v>16</v>
      </c>
      <c r="E5" s="5" t="s">
        <v>17</v>
      </c>
      <c r="F5" s="5" t="s">
        <v>18</v>
      </c>
      <c r="G5" s="5" t="s">
        <v>19</v>
      </c>
      <c r="H5" s="6" t="s">
        <v>20</v>
      </c>
      <c r="I5" s="4" t="s">
        <v>21</v>
      </c>
      <c r="J5" s="4" t="s">
        <v>22</v>
      </c>
      <c r="K5" s="4" t="s">
        <v>23</v>
      </c>
      <c r="L5" s="5" t="s">
        <v>24</v>
      </c>
    </row>
    <row r="6" spans="1:12" ht="117.75" customHeight="1" x14ac:dyDescent="0.25">
      <c r="A6" s="4" t="s">
        <v>25</v>
      </c>
      <c r="B6" s="5" t="s">
        <v>26</v>
      </c>
      <c r="C6" s="5" t="s">
        <v>15</v>
      </c>
      <c r="D6" s="4" t="s">
        <v>27</v>
      </c>
      <c r="E6" s="5" t="s">
        <v>28</v>
      </c>
      <c r="F6" s="5" t="s">
        <v>29</v>
      </c>
      <c r="G6" s="5" t="s">
        <v>30</v>
      </c>
      <c r="H6" s="7" t="s">
        <v>21</v>
      </c>
      <c r="I6" s="4" t="s">
        <v>21</v>
      </c>
      <c r="J6" s="4" t="s">
        <v>22</v>
      </c>
      <c r="K6" s="4" t="s">
        <v>31</v>
      </c>
      <c r="L6" s="5" t="s">
        <v>32</v>
      </c>
    </row>
    <row r="7" spans="1:12" ht="117.75" customHeight="1" x14ac:dyDescent="0.25">
      <c r="A7" s="4" t="s">
        <v>33</v>
      </c>
      <c r="B7" s="5" t="s">
        <v>34</v>
      </c>
      <c r="C7" s="5" t="s">
        <v>15</v>
      </c>
      <c r="D7" s="4" t="s">
        <v>35</v>
      </c>
      <c r="E7" s="5" t="s">
        <v>36</v>
      </c>
      <c r="F7" s="5" t="s">
        <v>37</v>
      </c>
      <c r="G7" s="5" t="s">
        <v>38</v>
      </c>
      <c r="H7" s="8" t="s">
        <v>39</v>
      </c>
      <c r="I7" s="4" t="s">
        <v>40</v>
      </c>
      <c r="J7" s="4" t="s">
        <v>22</v>
      </c>
      <c r="K7" s="4" t="s">
        <v>41</v>
      </c>
      <c r="L7" s="5" t="s">
        <v>42</v>
      </c>
    </row>
    <row r="8" spans="1:12" ht="117.75" customHeight="1" x14ac:dyDescent="0.25">
      <c r="A8" s="4" t="s">
        <v>43</v>
      </c>
      <c r="B8" s="5" t="s">
        <v>44</v>
      </c>
      <c r="C8" s="5" t="s">
        <v>45</v>
      </c>
      <c r="D8" s="4" t="s">
        <v>46</v>
      </c>
      <c r="E8" s="5" t="s">
        <v>47</v>
      </c>
      <c r="F8" s="5" t="s">
        <v>48</v>
      </c>
      <c r="G8" s="5" t="s">
        <v>49</v>
      </c>
      <c r="H8" s="9" t="s">
        <v>40</v>
      </c>
      <c r="I8" s="4" t="s">
        <v>40</v>
      </c>
      <c r="J8" s="4" t="s">
        <v>22</v>
      </c>
      <c r="K8" s="4" t="s">
        <v>50</v>
      </c>
      <c r="L8" s="5" t="s">
        <v>51</v>
      </c>
    </row>
    <row r="9" spans="1:12" ht="117.75" customHeight="1" x14ac:dyDescent="0.25">
      <c r="A9" s="4" t="s">
        <v>52</v>
      </c>
      <c r="B9" s="5" t="s">
        <v>53</v>
      </c>
      <c r="C9" s="5" t="s">
        <v>45</v>
      </c>
      <c r="D9" s="4" t="s">
        <v>54</v>
      </c>
      <c r="E9" s="5" t="s">
        <v>55</v>
      </c>
      <c r="F9" s="5" t="s">
        <v>56</v>
      </c>
      <c r="G9" s="5" t="s">
        <v>57</v>
      </c>
      <c r="H9" s="8" t="s">
        <v>39</v>
      </c>
      <c r="I9" s="4" t="s">
        <v>39</v>
      </c>
      <c r="J9" s="4" t="s">
        <v>22</v>
      </c>
      <c r="K9" s="4" t="s">
        <v>58</v>
      </c>
      <c r="L9" s="5" t="s">
        <v>59</v>
      </c>
    </row>
    <row r="10" spans="1:12" ht="117.75" customHeight="1" x14ac:dyDescent="0.25">
      <c r="A10" s="4"/>
      <c r="B10" s="5"/>
      <c r="C10" s="5"/>
      <c r="D10" s="4"/>
      <c r="E10" s="5"/>
      <c r="F10" s="5"/>
      <c r="G10" s="5"/>
      <c r="H10" s="13"/>
      <c r="I10" s="4"/>
      <c r="J10" s="4"/>
      <c r="K10" s="4"/>
      <c r="L10" s="5"/>
    </row>
    <row r="12" spans="1:12" x14ac:dyDescent="0.25">
      <c r="A12" s="10" t="s">
        <v>60</v>
      </c>
    </row>
    <row r="13" spans="1:12" x14ac:dyDescent="0.25">
      <c r="A13" s="11" t="s">
        <v>61</v>
      </c>
      <c r="B13" s="12">
        <f>COUNTA(A5:A10)</f>
        <v>5</v>
      </c>
    </row>
    <row r="14" spans="1:12" x14ac:dyDescent="0.25">
      <c r="A14" s="11" t="s">
        <v>20</v>
      </c>
      <c r="B14" s="12">
        <f>COUNTIF(H5:H10,"Critical")</f>
        <v>1</v>
      </c>
    </row>
    <row r="15" spans="1:12" x14ac:dyDescent="0.25">
      <c r="A15" s="11" t="s">
        <v>21</v>
      </c>
      <c r="B15" s="12">
        <f>COUNTIF(H5:H10,"High")</f>
        <v>1</v>
      </c>
    </row>
    <row r="16" spans="1:12" x14ac:dyDescent="0.25">
      <c r="A16" s="11" t="s">
        <v>40</v>
      </c>
      <c r="B16" s="12">
        <f>COUNTIF(H5:H10,"Medium")</f>
        <v>1</v>
      </c>
    </row>
    <row r="17" spans="1:2" x14ac:dyDescent="0.25">
      <c r="A17" s="11" t="s">
        <v>39</v>
      </c>
      <c r="B17" s="12">
        <f>COUNTIF(H5:H10,"Low")</f>
        <v>2</v>
      </c>
    </row>
    <row r="18" spans="1:2" x14ac:dyDescent="0.25">
      <c r="A18" s="11" t="s">
        <v>22</v>
      </c>
      <c r="B18" s="12">
        <f>COUNTIF(J5:J10,"Open")</f>
        <v>5</v>
      </c>
    </row>
  </sheetData>
  <autoFilter ref="A4:L10" xr:uid="{00000000-0009-0000-0000-000000000000}"/>
  <mergeCells count="2">
    <mergeCell ref="A1:K1"/>
    <mergeCell ref="A2:K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jayant bansal</cp:lastModifiedBy>
  <cp:revision>0</cp:revision>
  <dcterms:created xsi:type="dcterms:W3CDTF">2026-09-16T21:16:27Z</dcterms:created>
  <dcterms:modified xsi:type="dcterms:W3CDTF">2026-09-16T23:55:23Z</dcterms:modified>
  <dc:language>en-US</dc:language>
</cp:coreProperties>
</file>