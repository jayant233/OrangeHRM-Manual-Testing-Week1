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23\Downloads\files\OrangeHRM-Manual-Testing-Week1\OrangeHRM-Manual-Testing-Week1\07_Week1_Assignments\"/>
    </mc:Choice>
  </mc:AlternateContent>
  <xr:revisionPtr revIDLastSave="0" documentId="13_ncr:1_{7DA47CBA-6492-40E3-8E27-6DF6BE3F034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Login Test Cases" sheetId="1" r:id="rId1"/>
    <sheet name="Checkout Test Scenarios" sheetId="2" r:id="rId2"/>
    <sheet name="Traceability Matrix" sheetId="3" r:id="rId3"/>
    <sheet name="Bug Report (Example)" sheetId="4" r:id="rId4"/>
    <sheet name="Bug Hunting - Your Site" sheetId="5" r:id="rId5"/>
  </sheets>
  <definedNames>
    <definedName name="_xlnm._FilterDatabase" localSheetId="4" hidden="1">'Bug Hunting - Your Site'!$A$16:$H$23</definedName>
    <definedName name="_xlnm._FilterDatabase" localSheetId="3" hidden="1">'Bug Report (Example)'!$A$4:$F$9</definedName>
    <definedName name="_xlnm._FilterDatabase" localSheetId="1" hidden="1">'Checkout Test Scenarios'!$A$4:$D$24</definedName>
    <definedName name="_xlnm._FilterDatabase" localSheetId="0" hidden="1">'Login Test Cases'!$A$4:$H$24</definedName>
    <definedName name="_xlnm._FilterDatabase" localSheetId="2" hidden="1">'Traceability Matrix'!$A$4:$D$17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3" l="1"/>
  <c r="B20" i="3"/>
  <c r="B29" i="1"/>
  <c r="B28" i="1"/>
  <c r="B27" i="1"/>
</calcChain>
</file>

<file path=xl/sharedStrings.xml><?xml version="1.0" encoding="utf-8"?>
<sst xmlns="http://schemas.openxmlformats.org/spreadsheetml/2006/main" count="381" uniqueCount="264">
  <si>
    <t>Login Page – Test Cases (Positive &amp; Negative)</t>
  </si>
  <si>
    <t>Assumption: a typical login page with Username/Email, Password, Login button, Forgot-Password link, and a Remember Me option.</t>
  </si>
  <si>
    <t>TC ID</t>
  </si>
  <si>
    <t>Test Scenario</t>
  </si>
  <si>
    <t>Preconditions</t>
  </si>
  <si>
    <t>Test Steps</t>
  </si>
  <si>
    <t>Test Data</t>
  </si>
  <si>
    <t>Expected Result</t>
  </si>
  <si>
    <t>Type</t>
  </si>
  <si>
    <t>Priority</t>
  </si>
  <si>
    <t>TC_LOGIN_001</t>
  </si>
  <si>
    <t>Verify login with a valid username and valid password</t>
  </si>
  <si>
    <t>User is registered and is on the Login page</t>
  </si>
  <si>
    <t>1. Enter a valid username
2. Enter the correct password
3. Click Login</t>
  </si>
  <si>
    <t>Username: testuser@demo.com
Password: Valid@123</t>
  </si>
  <si>
    <t>User is authenticated and redirected to the home/dashboard page</t>
  </si>
  <si>
    <t>Positive</t>
  </si>
  <si>
    <t>High</t>
  </si>
  <si>
    <t>TC_LOGIN_002</t>
  </si>
  <si>
    <t>Verify login with a valid registered email as the username</t>
  </si>
  <si>
    <t>User registered with email as the login ID</t>
  </si>
  <si>
    <t>1. Enter the valid registered email
2. Enter the correct password
3. Click Login</t>
  </si>
  <si>
    <t>Email: testuser@demo.com
Password: Valid@123</t>
  </si>
  <si>
    <t>Login succeeds; user is redirected to the dashboard</t>
  </si>
  <si>
    <t>TC_LOGIN_003</t>
  </si>
  <si>
    <t>Verify the password field masks characters as they are typed</t>
  </si>
  <si>
    <t>On the Login page</t>
  </si>
  <si>
    <t>1. Click the password field
2. Type the password</t>
  </si>
  <si>
    <t>Password: Valid@123</t>
  </si>
  <si>
    <t>Characters appear as dots/asterisks, never as plain text</t>
  </si>
  <si>
    <t>Medium</t>
  </si>
  <si>
    <t>TC_LOGIN_004</t>
  </si>
  <si>
    <t>Verify the show/hide password icon toggles password visibility</t>
  </si>
  <si>
    <t>Password already entered in the field</t>
  </si>
  <si>
    <t>1. Enter a password
2. Click the “show password” (eye) icon
3. Click it again to hide</t>
  </si>
  <si>
    <t>Password text toggles correctly between masked and plain view</t>
  </si>
  <si>
    <t>Low</t>
  </si>
  <si>
    <t>TC_LOGIN_005</t>
  </si>
  <si>
    <t>Verify login can be submitted by pressing Enter instead of clicking Login</t>
  </si>
  <si>
    <t>On the Login page, both fields filled</t>
  </si>
  <si>
    <t>1. Enter a valid username
2. Enter a valid password
3. Press Enter</t>
  </si>
  <si>
    <t>Username/Password: valid</t>
  </si>
  <si>
    <t>Form submits and login succeeds, same as clicking the Login button</t>
  </si>
  <si>
    <t>TC_LOGIN_006</t>
  </si>
  <si>
    <t>Verify “Remember Me” keeps the user logged in after the browser is closed and reopened</t>
  </si>
  <si>
    <t>1. Enter valid credentials
2. Check “Remember Me”
3. Click Login
4. Close the browser completely
5. Reopen and revisit the site</t>
  </si>
  <si>
    <t>User is still logged in without needing to re-enter credentials</t>
  </si>
  <si>
    <t>TC_LOGIN_007</t>
  </si>
  <si>
    <t>Verify the “Forgot Password” link navigates to the password-recovery page</t>
  </si>
  <si>
    <t>1. Click the “Forgot Password” link</t>
  </si>
  <si>
    <t>N/A</t>
  </si>
  <si>
    <t>User is taken to a page for resetting/recovering their password</t>
  </si>
  <si>
    <t>TC_LOGIN_008</t>
  </si>
  <si>
    <t>Verify a logged-in user can log out successfully</t>
  </si>
  <si>
    <t>User is currently logged in</t>
  </si>
  <si>
    <t>1. Open the profile/account menu
2. Click Logout</t>
  </si>
  <si>
    <t>Session ends; user returns to the Login page and cannot reach authenticated pages via the Back button</t>
  </si>
  <si>
    <t>TC_LOGIN_009</t>
  </si>
  <si>
    <t>Verify an error is shown for an invalid username with a valid password</t>
  </si>
  <si>
    <t>1. Enter an unregistered username
2. Enter any password
3. Click Login</t>
  </si>
  <si>
    <t>Username: wronguser@demo.com
Password: Valid@123</t>
  </si>
  <si>
    <t>Login is denied; a generic “Invalid username or password” message is shown</t>
  </si>
  <si>
    <t>Negative</t>
  </si>
  <si>
    <t>TC_LOGIN_010</t>
  </si>
  <si>
    <t>Verify an error is shown for a valid username with an incorrect password</t>
  </si>
  <si>
    <t>1. Enter a registered username
2. Enter the wrong password
3. Click Login</t>
  </si>
  <si>
    <t>Username: testuser@demo.com
Password: WrongPass1</t>
  </si>
  <si>
    <t>Login is denied with the same generic invalid-credentials message</t>
  </si>
  <si>
    <t>TC_LOGIN_011</t>
  </si>
  <si>
    <t>Verify an error is shown when both username and password are invalid</t>
  </si>
  <si>
    <t>1. Enter an invalid username
2. Enter an invalid password
3. Click Login</t>
  </si>
  <si>
    <t>Username: wrong@demo.com
Password: WrongPass</t>
  </si>
  <si>
    <t>Login is denied with the generic invalid-credentials message</t>
  </si>
  <si>
    <t>TC_LOGIN_012</t>
  </si>
  <si>
    <t>Verify a validation error appears when the username field is left blank</t>
  </si>
  <si>
    <t>1. Leave username blank
2. Enter a valid password
3. Click Login</t>
  </si>
  <si>
    <t>Inline validation error “Username is required”; login is blocked</t>
  </si>
  <si>
    <t>TC_LOGIN_013</t>
  </si>
  <si>
    <t>Verify a validation error appears when the password field is left blank</t>
  </si>
  <si>
    <t>1. Enter a valid username
2. Leave password blank
3. Click Login</t>
  </si>
  <si>
    <t>Username: testuser@demo.com</t>
  </si>
  <si>
    <t>Inline validation error “Password is required”; login is blocked</t>
  </si>
  <si>
    <t>TC_LOGIN_014</t>
  </si>
  <si>
    <t>Verify validation errors appear when both fields are left blank</t>
  </si>
  <si>
    <t>1. Leave both fields blank
2. Click Login</t>
  </si>
  <si>
    <t>Validation errors shown on both fields; login is blocked</t>
  </si>
  <si>
    <t>TC_LOGIN_015</t>
  </si>
  <si>
    <t>Verify login is safely denied when a SQL-injection string is entered in the username field</t>
  </si>
  <si>
    <t>1. Enter ' OR '1'='1 in the username field
2. Enter any password
3. Click Login</t>
  </si>
  <si>
    <t>Username: ' OR '1'='1</t>
  </si>
  <si>
    <t>Login fails; input is safely handled with no DB/server error exposed and no unauthorized access</t>
  </si>
  <si>
    <t>TC_LOGIN_016</t>
  </si>
  <si>
    <t>Verify a script/XSS payload entered in the username field is not executed</t>
  </si>
  <si>
    <t>1. Enter &lt;script&gt;alert(1)&lt;/script&gt; in the username field
2. Click Login</t>
  </si>
  <si>
    <t>Username: &lt;script&gt;alert(1)&lt;/script&gt;</t>
  </si>
  <si>
    <t>Input is treated as plain text/escaped; no script executes; login is denied</t>
  </si>
  <si>
    <t>TC_LOGIN_017</t>
  </si>
  <si>
    <t>Verify login is denied when the fields contain only spaces</t>
  </si>
  <si>
    <t>1. Enter spaces only into username
2. Enter spaces only into password
3. Click Login</t>
  </si>
  <si>
    <t>Username: “   ”
Password: “   ”</t>
  </si>
  <si>
    <t>Fields are treated as effectively empty; validation error is shown</t>
  </si>
  <si>
    <t>TC_LOGIN_018</t>
  </si>
  <si>
    <t>Verify the system handles an excessively long input gracefully</t>
  </si>
  <si>
    <t>1. Enter a 500+ character string into the username field
2. Click Login</t>
  </si>
  <si>
    <t>Username: 500-character string</t>
  </si>
  <si>
    <t>Input is limited/truncated or a validation error is shown; no crash or server error</t>
  </si>
  <si>
    <t>TC_LOGIN_019</t>
  </si>
  <si>
    <t>Verify the account is locked or throttled after repeated consecutive failed login attempts</t>
  </si>
  <si>
    <t>1. Attempt login with an incorrect password 5 times in a row</t>
  </si>
  <si>
    <t>Password: WrongPass (×5)</t>
  </si>
  <si>
    <t>After the defined threshold, further attempts are blocked, a CAPTCHA appears, or the account is temporarily locked</t>
  </si>
  <si>
    <t>TC_LOGIN_020</t>
  </si>
  <si>
    <t>Summary</t>
  </si>
  <si>
    <t>Total test cases:</t>
  </si>
  <si>
    <t>Positive cases:</t>
  </si>
  <si>
    <t>Negative cases:</t>
  </si>
  <si>
    <t>E-Commerce Checkout Flow – Test Scenario Document</t>
  </si>
  <si>
    <t>Assumption: a standard flow – Cart Review → Address → Shipping Method → Coupon → Payment → Order Review → Confirmation.</t>
  </si>
  <si>
    <t>Scenario ID</t>
  </si>
  <si>
    <t>Module</t>
  </si>
  <si>
    <t>TS_CHK_001</t>
  </si>
  <si>
    <t>Cart</t>
  </si>
  <si>
    <t>Verify all items added by the user are correctly displayed in the cart with accurate price and quantity before checkout begins</t>
  </si>
  <si>
    <t>TS_CHK_002</t>
  </si>
  <si>
    <t>Verify the user can increase/decrease item quantity from the cart page and the order total updates accordingly</t>
  </si>
  <si>
    <t>TS_CHK_003</t>
  </si>
  <si>
    <t>Verify the user can remove an item from the cart and the order total recalculates correctly</t>
  </si>
  <si>
    <t>TS_CHK_004</t>
  </si>
  <si>
    <t>Verify checkout is blocked, with a clear message, when the cart is empty</t>
  </si>
  <si>
    <t>TS_CHK_005</t>
  </si>
  <si>
    <t>Checkout Access</t>
  </si>
  <si>
    <t>Verify a guest (non-logged-in) user can complete checkout, if guest checkout is supported</t>
  </si>
  <si>
    <t>TS_CHK_006</t>
  </si>
  <si>
    <t>Verify a logged-in user's checkout flow using a previously saved address</t>
  </si>
  <si>
    <t>TS_CHK_007</t>
  </si>
  <si>
    <t>Shipping Address</t>
  </si>
  <si>
    <t>Verify the user can add a new shipping address during checkout</t>
  </si>
  <si>
    <t>TS_CHK_008</t>
  </si>
  <si>
    <t>Verify the user can select from multiple saved addresses</t>
  </si>
  <si>
    <t>TS_CHK_009</t>
  </si>
  <si>
    <t>Verify mandatory address fields show validation errors when submitted empty or in an invalid format (e.g. invalid PIN/ZIP code)</t>
  </si>
  <si>
    <t>TS_CHK_010</t>
  </si>
  <si>
    <t>Shipping Method</t>
  </si>
  <si>
    <t>Verify all available shipping methods are listed with correct cost and estimated delivery date</t>
  </si>
  <si>
    <t>TS_CHK_011</t>
  </si>
  <si>
    <t>Verify the order total updates correctly when a different shipping method is selected</t>
  </si>
  <si>
    <t>TS_CHK_012</t>
  </si>
  <si>
    <t>Coupon / Discount</t>
  </si>
  <si>
    <t>Verify a valid, active coupon code applies the correct discount to the order total</t>
  </si>
  <si>
    <t>TS_CHK_013</t>
  </si>
  <si>
    <t>Verify an invalid or expired coupon code is rejected with an appropriate error message</t>
  </si>
  <si>
    <t>TS_CHK_014</t>
  </si>
  <si>
    <t>Payment</t>
  </si>
  <si>
    <t>Verify all supported payment methods (Card, UPI/Net Banking, Wallet, Cash on Delivery) are available and selectable</t>
  </si>
  <si>
    <t>TS_CHK_015</t>
  </si>
  <si>
    <t>Verify the payment form validates card number, expiry date, and CVV formats before submission</t>
  </si>
  <si>
    <t>TS_CHK_016</t>
  </si>
  <si>
    <t>Verify a clear error is shown and cart data is preserved when a payment attempt fails (declined card, gateway timeout)</t>
  </si>
  <si>
    <t>TS_CHK_017</t>
  </si>
  <si>
    <t>Order Review</t>
  </si>
  <si>
    <t>Verify the order summary page shows correct items, quantities, unit price, tax, shipping cost, discount and final total before confirmation</t>
  </si>
  <si>
    <t>TS_CHK_018</t>
  </si>
  <si>
    <t>Verify the user can go back and edit cart, address, or payment details from the review page before placing the order</t>
  </si>
  <si>
    <t>TS_CHK_019</t>
  </si>
  <si>
    <t>Order Confirmation</t>
  </si>
  <si>
    <t>Verify an order confirmation page and confirmation email/SMS are triggered immediately after a successful payment</t>
  </si>
  <si>
    <t>TS_CHK_020</t>
  </si>
  <si>
    <t>Edge Cases</t>
  </si>
  <si>
    <t>Verify appropriate handling (clear message, item held or removed) when a cart item goes out of stock during checkout</t>
  </si>
  <si>
    <t>Requirements Traceability Matrix – Login Page</t>
  </si>
  <si>
    <t>Maps each login requirement to the test case(s) in the ‘Login Test Cases’ sheet that verify it.</t>
  </si>
  <si>
    <t>Requirement ID</t>
  </si>
  <si>
    <t>Requirement Description</t>
  </si>
  <si>
    <t>Related Test Case ID(s)</t>
  </si>
  <si>
    <t>Coverage Status</t>
  </si>
  <si>
    <t>REQ-01</t>
  </si>
  <si>
    <t>The system shall allow a registered user to log in using a valid username/email and password.</t>
  </si>
  <si>
    <t>TC_LOGIN_001, TC_LOGIN_002</t>
  </si>
  <si>
    <t>Covered</t>
  </si>
  <si>
    <t>REQ-02</t>
  </si>
  <si>
    <t>The system shall mask password characters as they are typed and allow the user to reveal them.</t>
  </si>
  <si>
    <t>TC_LOGIN_003, TC_LOGIN_004</t>
  </si>
  <si>
    <t>REQ-03</t>
  </si>
  <si>
    <t>The system shall display a clear error message when login credentials are invalid.</t>
  </si>
  <si>
    <t>TC_LOGIN_009, TC_LOGIN_010, TC_LOGIN_011</t>
  </si>
  <si>
    <t>REQ-04</t>
  </si>
  <si>
    <t>The system shall not allow login when the username or password field is empty or blank/whitespace.</t>
  </si>
  <si>
    <t>TC_LOGIN_012, TC_LOGIN_013, TC_LOGIN_014, TC_LOGIN_017</t>
  </si>
  <si>
    <t>REQ-05</t>
  </si>
  <si>
    <t>The system shall provide a “Forgot Password” recovery mechanism.</t>
  </si>
  <si>
    <t>REQ-06</t>
  </si>
  <si>
    <t>The system shall support a “Remember Me” option that persists the user's session.</t>
  </si>
  <si>
    <t>REQ-07</t>
  </si>
  <si>
    <t>The system shall allow a logged-in user to log out and terminate the active session.</t>
  </si>
  <si>
    <t>REQ-08</t>
  </si>
  <si>
    <t>The system shall protect the login form against SQL Injection attacks.</t>
  </si>
  <si>
    <t>REQ-09</t>
  </si>
  <si>
    <t>The system shall protect the login form against Cross-Site Scripting (XSS) attacks.</t>
  </si>
  <si>
    <t>REQ-10</t>
  </si>
  <si>
    <t>The system shall lock or throttle the account after repeated consecutive failed login attempts.</t>
  </si>
  <si>
    <t>REQ-11</t>
  </si>
  <si>
    <t>The system shall support login submission via the Enter key, not only the Login button.</t>
  </si>
  <si>
    <t>REQ-12</t>
  </si>
  <si>
    <t>The system shall enforce case-sensitive password validation.</t>
  </si>
  <si>
    <t>REQ-13</t>
  </si>
  <si>
    <t>The system shall handle excessively long field input without crashing or exposing errors.</t>
  </si>
  <si>
    <t>Total requirements:</t>
  </si>
  <si>
    <t>Requirements covered:</t>
  </si>
  <si>
    <t>Bug Report – 5 Documented Bugs (saucedemo.com)</t>
  </si>
  <si>
    <t>See the note in chat: these are cross-verified, intentionally seeded bugs on a public QA practice site – reproduce and screenshot them yourself before submitting.</t>
  </si>
  <si>
    <t>Bug ID</t>
  </si>
  <si>
    <t>Title &amp; Steps to Reproduce</t>
  </si>
  <si>
    <t>Actual Result</t>
  </si>
  <si>
    <t>Severity / Priority</t>
  </si>
  <si>
    <t>Environment</t>
  </si>
  <si>
    <t>BUG_01</t>
  </si>
  <si>
    <t>Product images do not match their products on the Products (Inventory) page.
Steps: 1) Go to saucedemo.com 2) Log in as problem_user / secret_sauce 3) On the Products page, compare each item's photo to its name.</t>
  </si>
  <si>
    <t>Each product displays its own correct image.</t>
  </si>
  <si>
    <t>Several products show the same, incorrect image instead of their real photo.</t>
  </si>
  <si>
    <t>Medium / Medium</t>
  </si>
  <si>
    <t>Chrome, saucedemo.com, problem_user</t>
  </si>
  <si>
    <t>BUG_02</t>
  </si>
  <si>
    <t>The sort dropdown on the Products page does not reorder the list.
Steps: 1) Log in as problem_user 2) On the Products page, open the sort dropdown 3) Select “Name (Z to A)” or “Price (low to high)”.</t>
  </si>
  <si>
    <t>The product list re-sorts according to the option chosen.</t>
  </si>
  <si>
    <t>The product order does not change after a new sort option is selected.</t>
  </si>
  <si>
    <t>BUG_03</t>
  </si>
  <si>
    <t>The Last Name field on the Checkout Information page overwrites the First Name field.
Steps: 1) Log in as problem_user 2) Add an item to the cart, go to Checkout 3) Enter a First Name, then enter a Last Name.</t>
  </si>
  <si>
    <t>Both fields keep their own, independently entered values.</t>
  </si>
  <si>
    <t>Typing into Last Name overwrites/replaces the First Name field's content, so a correct last name can't be entered.</t>
  </si>
  <si>
    <t>High / High</t>
  </si>
  <si>
    <t>BUG_04</t>
  </si>
  <si>
    <t>The “Finish” button on the Checkout Overview page does not reliably complete the order.
Steps: 1) Log in as problem_user 2) Proceed through checkout information and overview 3) Click Finish.</t>
  </si>
  <si>
    <t>The order completes and the order-confirmation (“Thank You”) page is displayed.</t>
  </si>
  <si>
    <t>Clicking Finish fails to reliably reach the confirmation page (re-test to confirm the exact failure mode on your run).</t>
  </si>
  <si>
    <t>Critical / High</t>
  </si>
  <si>
    <t>BUG_05</t>
  </si>
  <si>
    <t>Login takes noticeably longer (~5 seconds) than a normal account.
Steps: 1) Go to saucedemo.com 2) Log in as performance_glitch_user / secret_sauce 3) Time how long it takes to reach the Products page.</t>
  </si>
  <si>
    <t>Login completes in roughly the same time as the standard_user account (well under 2 seconds).</t>
  </si>
  <si>
    <t>Login / page load is delayed by several seconds before the Products page appears.</t>
  </si>
  <si>
    <t>Chrome, saucedemo.com, performance_glitch_user</t>
  </si>
  <si>
    <t>Note:</t>
  </si>
  <si>
    <t>All 5 bugs above are compiled from cross-referenced, independent QA reports of this account (a public practice site that intentionally ships broken accounts for training). Reproduce each one yourself, capture a real screenshot, and note the actual behaviour you see — only then treat it as verified.</t>
  </si>
  <si>
    <t>Bug Hunting Checklist – Use This on Any Live Website</t>
  </si>
  <si>
    <t>Before you start, pick a real, small-to-medium site (a shopping site, food-delivery app, news site, or any app you use). Spend ~15 minutes exploring with this checklist, then log at least 5 issues below.</t>
  </si>
  <si>
    <t>Checklist</t>
  </si>
  <si>
    <t>☐ Functional: forms submit correctly, buttons/links go where labeled, search returns relevant results</t>
  </si>
  <si>
    <t>☐ Validation: required fields, email/phone/date formats, min/max values are all enforced with clear messages</t>
  </si>
  <si>
    <t>☐ UI / Visual: misaligned elements, overlapping text, inconsistent fonts/colors, broken images/icons</t>
  </si>
  <si>
    <t>☐ Links: no dead (404) links or buttons that do nothing when clicked</t>
  </si>
  <si>
    <t>☐ Spelling &amp; grammar: typos or inconsistent wording in labels, buttons, and messages</t>
  </si>
  <si>
    <t>☐ Responsiveness: resize the browser window / use DevTools device mode – layout should not break</t>
  </si>
  <si>
    <t>☐ Browser console: open DevTools &gt; Console for JavaScript errors while you navigate</t>
  </si>
  <si>
    <t>☐ Cross-browser: quickly recheck anything odd in a second browser if you have time</t>
  </si>
  <si>
    <t>Your Bug Log (fill this in on your chosen live site)</t>
  </si>
  <si>
    <t>Title</t>
  </si>
  <si>
    <t>Steps to Reproduce</t>
  </si>
  <si>
    <t>Severity</t>
  </si>
  <si>
    <t>Screenshot Filename</t>
  </si>
  <si>
    <t>BUG_EX</t>
  </si>
  <si>
    <t>[Example] “Add to cart” button unresponsive on product page</t>
  </si>
  <si>
    <t>1. Open the site
2. Open any product page
3. Click “Add to cart”</t>
  </si>
  <si>
    <t>Item is added and the cart icon count increases by 1</t>
  </si>
  <si>
    <t>Nothing happens; cart count stays the same</t>
  </si>
  <si>
    <t>bug_ex_addtocart.png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</si>
</sst>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topLeftCell="E1" zoomScaleNormal="100" workbookViewId="0">
      <pane ySplit="4" topLeftCell="A22" activePane="bottomLeft" state="frozen"/>
      <selection pane="bottomLeft" activeCell="I24" sqref="I24"/>
    </sheetView>
  </sheetViews>
  <sheetFormatPr defaultColWidth="8.7109375" defaultRowHeight="15" x14ac:dyDescent="0.25"/>
  <cols>
    <col min="1" max="1" width="15" customWidth="1"/>
    <col min="2" max="2" width="32" customWidth="1"/>
    <col min="3" max="3" width="24" customWidth="1"/>
    <col min="4" max="4" width="40" customWidth="1"/>
    <col min="5" max="5" width="24" customWidth="1"/>
    <col min="6" max="6" width="38" customWidth="1"/>
    <col min="7" max="8" width="10" customWidth="1"/>
  </cols>
  <sheetData>
    <row r="1" spans="1:8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15.75" customHeight="1" x14ac:dyDescent="0.25">
      <c r="A2" s="3" t="s">
        <v>1</v>
      </c>
      <c r="B2" s="3"/>
      <c r="C2" s="3"/>
      <c r="D2" s="3"/>
      <c r="E2" s="3"/>
      <c r="F2" s="3"/>
      <c r="G2" s="3"/>
      <c r="H2" s="3"/>
    </row>
    <row r="4" spans="1:8" ht="30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60" customHeight="1" x14ac:dyDescent="0.25">
      <c r="A5" s="6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6" t="s">
        <v>16</v>
      </c>
      <c r="H5" s="6" t="s">
        <v>17</v>
      </c>
    </row>
    <row r="6" spans="1:8" ht="60" customHeight="1" x14ac:dyDescent="0.25">
      <c r="A6" s="6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6" t="s">
        <v>16</v>
      </c>
      <c r="H6" s="6" t="s">
        <v>17</v>
      </c>
    </row>
    <row r="7" spans="1:8" ht="60" customHeight="1" x14ac:dyDescent="0.25">
      <c r="A7" s="6" t="s">
        <v>24</v>
      </c>
      <c r="B7" s="7" t="s">
        <v>25</v>
      </c>
      <c r="C7" s="7" t="s">
        <v>26</v>
      </c>
      <c r="D7" s="7" t="s">
        <v>27</v>
      </c>
      <c r="E7" s="7" t="s">
        <v>28</v>
      </c>
      <c r="F7" s="7" t="s">
        <v>29</v>
      </c>
      <c r="G7" s="6" t="s">
        <v>16</v>
      </c>
      <c r="H7" s="6" t="s">
        <v>30</v>
      </c>
    </row>
    <row r="8" spans="1:8" ht="60" customHeight="1" x14ac:dyDescent="0.25">
      <c r="A8" s="6" t="s">
        <v>31</v>
      </c>
      <c r="B8" s="7" t="s">
        <v>32</v>
      </c>
      <c r="C8" s="7" t="s">
        <v>33</v>
      </c>
      <c r="D8" s="7" t="s">
        <v>34</v>
      </c>
      <c r="E8" s="7" t="s">
        <v>28</v>
      </c>
      <c r="F8" s="7" t="s">
        <v>35</v>
      </c>
      <c r="G8" s="6" t="s">
        <v>16</v>
      </c>
      <c r="H8" s="6" t="s">
        <v>36</v>
      </c>
    </row>
    <row r="9" spans="1:8" ht="60" customHeight="1" x14ac:dyDescent="0.25">
      <c r="A9" s="6" t="s">
        <v>37</v>
      </c>
      <c r="B9" s="7" t="s">
        <v>38</v>
      </c>
      <c r="C9" s="7" t="s">
        <v>39</v>
      </c>
      <c r="D9" s="7" t="s">
        <v>40</v>
      </c>
      <c r="E9" s="7" t="s">
        <v>41</v>
      </c>
      <c r="F9" s="7" t="s">
        <v>42</v>
      </c>
      <c r="G9" s="6" t="s">
        <v>16</v>
      </c>
      <c r="H9" s="6" t="s">
        <v>30</v>
      </c>
    </row>
    <row r="10" spans="1:8" ht="60" customHeight="1" x14ac:dyDescent="0.25">
      <c r="A10" s="6" t="s">
        <v>43</v>
      </c>
      <c r="B10" s="7" t="s">
        <v>44</v>
      </c>
      <c r="C10" s="7" t="s">
        <v>26</v>
      </c>
      <c r="D10" s="7" t="s">
        <v>45</v>
      </c>
      <c r="E10" s="7" t="s">
        <v>41</v>
      </c>
      <c r="F10" s="7" t="s">
        <v>46</v>
      </c>
      <c r="G10" s="6" t="s">
        <v>16</v>
      </c>
      <c r="H10" s="6" t="s">
        <v>30</v>
      </c>
    </row>
    <row r="11" spans="1:8" ht="60" customHeight="1" x14ac:dyDescent="0.25">
      <c r="A11" s="6" t="s">
        <v>47</v>
      </c>
      <c r="B11" s="7" t="s">
        <v>48</v>
      </c>
      <c r="C11" s="7" t="s">
        <v>26</v>
      </c>
      <c r="D11" s="7" t="s">
        <v>49</v>
      </c>
      <c r="E11" s="7" t="s">
        <v>50</v>
      </c>
      <c r="F11" s="7" t="s">
        <v>51</v>
      </c>
      <c r="G11" s="6" t="s">
        <v>16</v>
      </c>
      <c r="H11" s="6" t="s">
        <v>30</v>
      </c>
    </row>
    <row r="12" spans="1:8" ht="60" customHeight="1" x14ac:dyDescent="0.25">
      <c r="A12" s="6" t="s">
        <v>52</v>
      </c>
      <c r="B12" s="7" t="s">
        <v>53</v>
      </c>
      <c r="C12" s="7" t="s">
        <v>54</v>
      </c>
      <c r="D12" s="7" t="s">
        <v>55</v>
      </c>
      <c r="E12" s="7" t="s">
        <v>50</v>
      </c>
      <c r="F12" s="7" t="s">
        <v>56</v>
      </c>
      <c r="G12" s="6" t="s">
        <v>16</v>
      </c>
      <c r="H12" s="6" t="s">
        <v>17</v>
      </c>
    </row>
    <row r="13" spans="1:8" ht="60" customHeight="1" x14ac:dyDescent="0.25">
      <c r="A13" s="6" t="s">
        <v>57</v>
      </c>
      <c r="B13" s="7" t="s">
        <v>58</v>
      </c>
      <c r="C13" s="7" t="s">
        <v>26</v>
      </c>
      <c r="D13" s="7" t="s">
        <v>59</v>
      </c>
      <c r="E13" s="7" t="s">
        <v>60</v>
      </c>
      <c r="F13" s="7" t="s">
        <v>61</v>
      </c>
      <c r="G13" s="6" t="s">
        <v>62</v>
      </c>
      <c r="H13" s="6" t="s">
        <v>17</v>
      </c>
    </row>
    <row r="14" spans="1:8" ht="60" customHeight="1" x14ac:dyDescent="0.25">
      <c r="A14" s="6" t="s">
        <v>63</v>
      </c>
      <c r="B14" s="7" t="s">
        <v>64</v>
      </c>
      <c r="C14" s="7" t="s">
        <v>26</v>
      </c>
      <c r="D14" s="7" t="s">
        <v>65</v>
      </c>
      <c r="E14" s="7" t="s">
        <v>66</v>
      </c>
      <c r="F14" s="7" t="s">
        <v>67</v>
      </c>
      <c r="G14" s="6" t="s">
        <v>62</v>
      </c>
      <c r="H14" s="6" t="s">
        <v>17</v>
      </c>
    </row>
    <row r="15" spans="1:8" ht="60" customHeight="1" x14ac:dyDescent="0.25">
      <c r="A15" s="6" t="s">
        <v>68</v>
      </c>
      <c r="B15" s="7" t="s">
        <v>69</v>
      </c>
      <c r="C15" s="7" t="s">
        <v>26</v>
      </c>
      <c r="D15" s="7" t="s">
        <v>70</v>
      </c>
      <c r="E15" s="7" t="s">
        <v>71</v>
      </c>
      <c r="F15" s="7" t="s">
        <v>72</v>
      </c>
      <c r="G15" s="6" t="s">
        <v>62</v>
      </c>
      <c r="H15" s="6" t="s">
        <v>17</v>
      </c>
    </row>
    <row r="16" spans="1:8" ht="60" customHeight="1" x14ac:dyDescent="0.25">
      <c r="A16" s="6" t="s">
        <v>73</v>
      </c>
      <c r="B16" s="7" t="s">
        <v>74</v>
      </c>
      <c r="C16" s="7" t="s">
        <v>26</v>
      </c>
      <c r="D16" s="7" t="s">
        <v>75</v>
      </c>
      <c r="E16" s="7" t="s">
        <v>28</v>
      </c>
      <c r="F16" s="7" t="s">
        <v>76</v>
      </c>
      <c r="G16" s="6" t="s">
        <v>62</v>
      </c>
      <c r="H16" s="6" t="s">
        <v>17</v>
      </c>
    </row>
    <row r="17" spans="1:8" ht="60" customHeight="1" x14ac:dyDescent="0.25">
      <c r="A17" s="6" t="s">
        <v>77</v>
      </c>
      <c r="B17" s="7" t="s">
        <v>78</v>
      </c>
      <c r="C17" s="7" t="s">
        <v>26</v>
      </c>
      <c r="D17" s="7" t="s">
        <v>79</v>
      </c>
      <c r="E17" s="7" t="s">
        <v>80</v>
      </c>
      <c r="F17" s="7" t="s">
        <v>81</v>
      </c>
      <c r="G17" s="6" t="s">
        <v>62</v>
      </c>
      <c r="H17" s="6" t="s">
        <v>17</v>
      </c>
    </row>
    <row r="18" spans="1:8" ht="60" customHeight="1" x14ac:dyDescent="0.25">
      <c r="A18" s="6" t="s">
        <v>82</v>
      </c>
      <c r="B18" s="7" t="s">
        <v>83</v>
      </c>
      <c r="C18" s="7" t="s">
        <v>26</v>
      </c>
      <c r="D18" s="7" t="s">
        <v>84</v>
      </c>
      <c r="E18" s="7" t="s">
        <v>50</v>
      </c>
      <c r="F18" s="7" t="s">
        <v>85</v>
      </c>
      <c r="G18" s="6" t="s">
        <v>62</v>
      </c>
      <c r="H18" s="6" t="s">
        <v>17</v>
      </c>
    </row>
    <row r="19" spans="1:8" ht="60" customHeight="1" x14ac:dyDescent="0.25">
      <c r="A19" s="6" t="s">
        <v>86</v>
      </c>
      <c r="B19" s="7" t="s">
        <v>87</v>
      </c>
      <c r="C19" s="7" t="s">
        <v>26</v>
      </c>
      <c r="D19" s="7" t="s">
        <v>88</v>
      </c>
      <c r="E19" s="7" t="s">
        <v>89</v>
      </c>
      <c r="F19" s="7" t="s">
        <v>90</v>
      </c>
      <c r="G19" s="6" t="s">
        <v>62</v>
      </c>
      <c r="H19" s="6" t="s">
        <v>17</v>
      </c>
    </row>
    <row r="20" spans="1:8" ht="60" customHeight="1" x14ac:dyDescent="0.25">
      <c r="A20" s="6" t="s">
        <v>91</v>
      </c>
      <c r="B20" s="7" t="s">
        <v>92</v>
      </c>
      <c r="C20" s="7" t="s">
        <v>26</v>
      </c>
      <c r="D20" s="7" t="s">
        <v>93</v>
      </c>
      <c r="E20" s="7" t="s">
        <v>94</v>
      </c>
      <c r="F20" s="7" t="s">
        <v>95</v>
      </c>
      <c r="G20" s="6" t="s">
        <v>62</v>
      </c>
      <c r="H20" s="6" t="s">
        <v>17</v>
      </c>
    </row>
    <row r="21" spans="1:8" ht="60" customHeight="1" x14ac:dyDescent="0.25">
      <c r="A21" s="6" t="s">
        <v>96</v>
      </c>
      <c r="B21" s="7" t="s">
        <v>97</v>
      </c>
      <c r="C21" s="7" t="s">
        <v>26</v>
      </c>
      <c r="D21" s="7" t="s">
        <v>98</v>
      </c>
      <c r="E21" s="7" t="s">
        <v>99</v>
      </c>
      <c r="F21" s="7" t="s">
        <v>100</v>
      </c>
      <c r="G21" s="6" t="s">
        <v>62</v>
      </c>
      <c r="H21" s="6" t="s">
        <v>30</v>
      </c>
    </row>
    <row r="22" spans="1:8" ht="60" customHeight="1" x14ac:dyDescent="0.25">
      <c r="A22" s="6" t="s">
        <v>101</v>
      </c>
      <c r="B22" s="7" t="s">
        <v>102</v>
      </c>
      <c r="C22" s="7" t="s">
        <v>26</v>
      </c>
      <c r="D22" s="7" t="s">
        <v>103</v>
      </c>
      <c r="E22" s="7" t="s">
        <v>104</v>
      </c>
      <c r="F22" s="7" t="s">
        <v>105</v>
      </c>
      <c r="G22" s="6" t="s">
        <v>62</v>
      </c>
      <c r="H22" s="6" t="s">
        <v>36</v>
      </c>
    </row>
    <row r="23" spans="1:8" ht="60" customHeight="1" x14ac:dyDescent="0.25">
      <c r="A23" s="6" t="s">
        <v>106</v>
      </c>
      <c r="B23" s="7" t="s">
        <v>107</v>
      </c>
      <c r="C23" s="7" t="s">
        <v>26</v>
      </c>
      <c r="D23" s="7" t="s">
        <v>108</v>
      </c>
      <c r="E23" s="7" t="s">
        <v>109</v>
      </c>
      <c r="F23" s="7" t="s">
        <v>110</v>
      </c>
      <c r="G23" s="6" t="s">
        <v>62</v>
      </c>
      <c r="H23" s="6" t="s">
        <v>17</v>
      </c>
    </row>
    <row r="24" spans="1:8" ht="60" customHeight="1" x14ac:dyDescent="0.25">
      <c r="A24" s="6"/>
      <c r="B24" s="7"/>
      <c r="C24" s="7"/>
      <c r="D24" s="7"/>
      <c r="E24" s="7"/>
      <c r="F24" s="7"/>
      <c r="G24" s="6"/>
      <c r="H24" s="6"/>
    </row>
    <row r="26" spans="1:8" x14ac:dyDescent="0.25">
      <c r="A26" s="8" t="s">
        <v>112</v>
      </c>
    </row>
    <row r="27" spans="1:8" x14ac:dyDescent="0.25">
      <c r="A27" s="9" t="s">
        <v>113</v>
      </c>
      <c r="B27" s="9">
        <f>COUNTA(A5:A24)</f>
        <v>19</v>
      </c>
    </row>
    <row r="28" spans="1:8" x14ac:dyDescent="0.25">
      <c r="A28" s="9" t="s">
        <v>114</v>
      </c>
      <c r="B28" s="9">
        <f>COUNTIF(G5:G24,"Positive")</f>
        <v>8</v>
      </c>
    </row>
    <row r="29" spans="1:8" x14ac:dyDescent="0.25">
      <c r="A29" s="9" t="s">
        <v>115</v>
      </c>
      <c r="B29" s="9">
        <f>COUNTIF(G5:G24,"Negative")</f>
        <v>11</v>
      </c>
    </row>
  </sheetData>
  <autoFilter ref="A4:H24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8" customWidth="1"/>
    <col min="3" max="3" width="70" customWidth="1"/>
    <col min="4" max="4" width="10" customWidth="1"/>
  </cols>
  <sheetData>
    <row r="1" spans="1:4" ht="25.5" customHeight="1" x14ac:dyDescent="0.25">
      <c r="A1" s="4" t="s">
        <v>116</v>
      </c>
      <c r="B1" s="4"/>
      <c r="C1" s="4"/>
      <c r="D1" s="4"/>
    </row>
    <row r="2" spans="1:4" ht="15.75" customHeight="1" x14ac:dyDescent="0.25">
      <c r="A2" s="3" t="s">
        <v>117</v>
      </c>
      <c r="B2" s="3"/>
      <c r="C2" s="3"/>
      <c r="D2" s="3"/>
    </row>
    <row r="4" spans="1:4" ht="30" customHeight="1" x14ac:dyDescent="0.25">
      <c r="A4" s="5" t="s">
        <v>118</v>
      </c>
      <c r="B4" s="5" t="s">
        <v>119</v>
      </c>
      <c r="C4" s="5" t="s">
        <v>3</v>
      </c>
      <c r="D4" s="5" t="s">
        <v>9</v>
      </c>
    </row>
    <row r="5" spans="1:4" ht="31.5" customHeight="1" x14ac:dyDescent="0.25">
      <c r="A5" s="6" t="s">
        <v>120</v>
      </c>
      <c r="B5" s="7" t="s">
        <v>121</v>
      </c>
      <c r="C5" s="7" t="s">
        <v>122</v>
      </c>
      <c r="D5" s="6" t="s">
        <v>17</v>
      </c>
    </row>
    <row r="6" spans="1:4" ht="31.5" customHeight="1" x14ac:dyDescent="0.25">
      <c r="A6" s="6" t="s">
        <v>123</v>
      </c>
      <c r="B6" s="7" t="s">
        <v>121</v>
      </c>
      <c r="C6" s="7" t="s">
        <v>124</v>
      </c>
      <c r="D6" s="6" t="s">
        <v>17</v>
      </c>
    </row>
    <row r="7" spans="1:4" ht="31.5" customHeight="1" x14ac:dyDescent="0.25">
      <c r="A7" s="6" t="s">
        <v>125</v>
      </c>
      <c r="B7" s="7" t="s">
        <v>121</v>
      </c>
      <c r="C7" s="7" t="s">
        <v>126</v>
      </c>
      <c r="D7" s="6" t="s">
        <v>17</v>
      </c>
    </row>
    <row r="8" spans="1:4" ht="31.5" customHeight="1" x14ac:dyDescent="0.25">
      <c r="A8" s="6" t="s">
        <v>127</v>
      </c>
      <c r="B8" s="7" t="s">
        <v>121</v>
      </c>
      <c r="C8" s="7" t="s">
        <v>128</v>
      </c>
      <c r="D8" s="6" t="s">
        <v>30</v>
      </c>
    </row>
    <row r="9" spans="1:4" ht="31.5" customHeight="1" x14ac:dyDescent="0.25">
      <c r="A9" s="6" t="s">
        <v>129</v>
      </c>
      <c r="B9" s="7" t="s">
        <v>130</v>
      </c>
      <c r="C9" s="7" t="s">
        <v>131</v>
      </c>
      <c r="D9" s="6" t="s">
        <v>30</v>
      </c>
    </row>
    <row r="10" spans="1:4" ht="31.5" customHeight="1" x14ac:dyDescent="0.25">
      <c r="A10" s="6" t="s">
        <v>132</v>
      </c>
      <c r="B10" s="7" t="s">
        <v>130</v>
      </c>
      <c r="C10" s="7" t="s">
        <v>133</v>
      </c>
      <c r="D10" s="6" t="s">
        <v>17</v>
      </c>
    </row>
    <row r="11" spans="1:4" ht="31.5" customHeight="1" x14ac:dyDescent="0.25">
      <c r="A11" s="6" t="s">
        <v>134</v>
      </c>
      <c r="B11" s="7" t="s">
        <v>135</v>
      </c>
      <c r="C11" s="7" t="s">
        <v>136</v>
      </c>
      <c r="D11" s="6" t="s">
        <v>17</v>
      </c>
    </row>
    <row r="12" spans="1:4" ht="31.5" customHeight="1" x14ac:dyDescent="0.25">
      <c r="A12" s="6" t="s">
        <v>137</v>
      </c>
      <c r="B12" s="7" t="s">
        <v>135</v>
      </c>
      <c r="C12" s="7" t="s">
        <v>138</v>
      </c>
      <c r="D12" s="6" t="s">
        <v>30</v>
      </c>
    </row>
    <row r="13" spans="1:4" ht="31.5" customHeight="1" x14ac:dyDescent="0.25">
      <c r="A13" s="6" t="s">
        <v>139</v>
      </c>
      <c r="B13" s="7" t="s">
        <v>135</v>
      </c>
      <c r="C13" s="7" t="s">
        <v>140</v>
      </c>
      <c r="D13" s="6" t="s">
        <v>17</v>
      </c>
    </row>
    <row r="14" spans="1:4" ht="31.5" customHeight="1" x14ac:dyDescent="0.25">
      <c r="A14" s="6" t="s">
        <v>141</v>
      </c>
      <c r="B14" s="7" t="s">
        <v>142</v>
      </c>
      <c r="C14" s="7" t="s">
        <v>143</v>
      </c>
      <c r="D14" s="6" t="s">
        <v>30</v>
      </c>
    </row>
    <row r="15" spans="1:4" ht="31.5" customHeight="1" x14ac:dyDescent="0.25">
      <c r="A15" s="6" t="s">
        <v>144</v>
      </c>
      <c r="B15" s="7" t="s">
        <v>142</v>
      </c>
      <c r="C15" s="7" t="s">
        <v>145</v>
      </c>
      <c r="D15" s="6" t="s">
        <v>17</v>
      </c>
    </row>
    <row r="16" spans="1:4" ht="31.5" customHeight="1" x14ac:dyDescent="0.25">
      <c r="A16" s="6" t="s">
        <v>146</v>
      </c>
      <c r="B16" s="7" t="s">
        <v>147</v>
      </c>
      <c r="C16" s="7" t="s">
        <v>148</v>
      </c>
      <c r="D16" s="6" t="s">
        <v>17</v>
      </c>
    </row>
    <row r="17" spans="1:4" ht="31.5" customHeight="1" x14ac:dyDescent="0.25">
      <c r="A17" s="6" t="s">
        <v>149</v>
      </c>
      <c r="B17" s="7" t="s">
        <v>147</v>
      </c>
      <c r="C17" s="7" t="s">
        <v>150</v>
      </c>
      <c r="D17" s="6" t="s">
        <v>30</v>
      </c>
    </row>
    <row r="18" spans="1:4" ht="31.5" customHeight="1" x14ac:dyDescent="0.25">
      <c r="A18" s="6" t="s">
        <v>151</v>
      </c>
      <c r="B18" s="7" t="s">
        <v>152</v>
      </c>
      <c r="C18" s="7" t="s">
        <v>153</v>
      </c>
      <c r="D18" s="6" t="s">
        <v>17</v>
      </c>
    </row>
    <row r="19" spans="1:4" ht="31.5" customHeight="1" x14ac:dyDescent="0.25">
      <c r="A19" s="6" t="s">
        <v>154</v>
      </c>
      <c r="B19" s="7" t="s">
        <v>152</v>
      </c>
      <c r="C19" s="7" t="s">
        <v>155</v>
      </c>
      <c r="D19" s="6" t="s">
        <v>17</v>
      </c>
    </row>
    <row r="20" spans="1:4" ht="31.5" customHeight="1" x14ac:dyDescent="0.25">
      <c r="A20" s="6" t="s">
        <v>156</v>
      </c>
      <c r="B20" s="7" t="s">
        <v>152</v>
      </c>
      <c r="C20" s="7" t="s">
        <v>157</v>
      </c>
      <c r="D20" s="6" t="s">
        <v>17</v>
      </c>
    </row>
    <row r="21" spans="1:4" ht="31.5" customHeight="1" x14ac:dyDescent="0.25">
      <c r="A21" s="6" t="s">
        <v>158</v>
      </c>
      <c r="B21" s="7" t="s">
        <v>159</v>
      </c>
      <c r="C21" s="7" t="s">
        <v>160</v>
      </c>
      <c r="D21" s="6" t="s">
        <v>17</v>
      </c>
    </row>
    <row r="22" spans="1:4" ht="31.5" customHeight="1" x14ac:dyDescent="0.25">
      <c r="A22" s="6" t="s">
        <v>161</v>
      </c>
      <c r="B22" s="7" t="s">
        <v>159</v>
      </c>
      <c r="C22" s="7" t="s">
        <v>162</v>
      </c>
      <c r="D22" s="6" t="s">
        <v>30</v>
      </c>
    </row>
    <row r="23" spans="1:4" ht="31.5" customHeight="1" x14ac:dyDescent="0.25">
      <c r="A23" s="6" t="s">
        <v>163</v>
      </c>
      <c r="B23" s="7" t="s">
        <v>164</v>
      </c>
      <c r="C23" s="7" t="s">
        <v>165</v>
      </c>
      <c r="D23" s="6" t="s">
        <v>17</v>
      </c>
    </row>
    <row r="24" spans="1:4" ht="31.5" customHeight="1" x14ac:dyDescent="0.25">
      <c r="A24" s="6" t="s">
        <v>166</v>
      </c>
      <c r="B24" s="7" t="s">
        <v>167</v>
      </c>
      <c r="C24" s="7" t="s">
        <v>168</v>
      </c>
      <c r="D24" s="6" t="s">
        <v>30</v>
      </c>
    </row>
  </sheetData>
  <autoFilter ref="A4:D24" xr:uid="{00000000-0009-0000-0000-000001000000}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58" customWidth="1"/>
    <col min="3" max="3" width="26" customWidth="1"/>
    <col min="4" max="4" width="14" customWidth="1"/>
  </cols>
  <sheetData>
    <row r="1" spans="1:4" ht="25.5" customHeight="1" x14ac:dyDescent="0.25">
      <c r="A1" s="4" t="s">
        <v>169</v>
      </c>
      <c r="B1" s="4"/>
      <c r="C1" s="4"/>
      <c r="D1" s="4"/>
    </row>
    <row r="2" spans="1:4" ht="15.75" customHeight="1" x14ac:dyDescent="0.25">
      <c r="A2" s="3" t="s">
        <v>170</v>
      </c>
      <c r="B2" s="3"/>
      <c r="C2" s="3"/>
      <c r="D2" s="3"/>
    </row>
    <row r="4" spans="1:4" ht="30" customHeight="1" x14ac:dyDescent="0.25">
      <c r="A4" s="5" t="s">
        <v>171</v>
      </c>
      <c r="B4" s="5" t="s">
        <v>172</v>
      </c>
      <c r="C4" s="5" t="s">
        <v>173</v>
      </c>
      <c r="D4" s="5" t="s">
        <v>174</v>
      </c>
    </row>
    <row r="5" spans="1:4" ht="33.75" customHeight="1" x14ac:dyDescent="0.25">
      <c r="A5" s="6" t="s">
        <v>175</v>
      </c>
      <c r="B5" s="7" t="s">
        <v>176</v>
      </c>
      <c r="C5" s="7" t="s">
        <v>177</v>
      </c>
      <c r="D5" s="6" t="s">
        <v>178</v>
      </c>
    </row>
    <row r="6" spans="1:4" ht="33.75" customHeight="1" x14ac:dyDescent="0.25">
      <c r="A6" s="6" t="s">
        <v>179</v>
      </c>
      <c r="B6" s="7" t="s">
        <v>180</v>
      </c>
      <c r="C6" s="7" t="s">
        <v>181</v>
      </c>
      <c r="D6" s="6" t="s">
        <v>178</v>
      </c>
    </row>
    <row r="7" spans="1:4" ht="33.75" customHeight="1" x14ac:dyDescent="0.25">
      <c r="A7" s="6" t="s">
        <v>182</v>
      </c>
      <c r="B7" s="7" t="s">
        <v>183</v>
      </c>
      <c r="C7" s="7" t="s">
        <v>184</v>
      </c>
      <c r="D7" s="6" t="s">
        <v>178</v>
      </c>
    </row>
    <row r="8" spans="1:4" ht="33.75" customHeight="1" x14ac:dyDescent="0.25">
      <c r="A8" s="6" t="s">
        <v>185</v>
      </c>
      <c r="B8" s="7" t="s">
        <v>186</v>
      </c>
      <c r="C8" s="7" t="s">
        <v>187</v>
      </c>
      <c r="D8" s="6" t="s">
        <v>178</v>
      </c>
    </row>
    <row r="9" spans="1:4" ht="33.75" customHeight="1" x14ac:dyDescent="0.25">
      <c r="A9" s="6" t="s">
        <v>188</v>
      </c>
      <c r="B9" s="7" t="s">
        <v>189</v>
      </c>
      <c r="C9" s="7" t="s">
        <v>47</v>
      </c>
      <c r="D9" s="6" t="s">
        <v>178</v>
      </c>
    </row>
    <row r="10" spans="1:4" ht="33.75" customHeight="1" x14ac:dyDescent="0.25">
      <c r="A10" s="6" t="s">
        <v>190</v>
      </c>
      <c r="B10" s="7" t="s">
        <v>191</v>
      </c>
      <c r="C10" s="7" t="s">
        <v>43</v>
      </c>
      <c r="D10" s="6" t="s">
        <v>178</v>
      </c>
    </row>
    <row r="11" spans="1:4" ht="33.75" customHeight="1" x14ac:dyDescent="0.25">
      <c r="A11" s="6" t="s">
        <v>192</v>
      </c>
      <c r="B11" s="7" t="s">
        <v>193</v>
      </c>
      <c r="C11" s="7" t="s">
        <v>52</v>
      </c>
      <c r="D11" s="6" t="s">
        <v>178</v>
      </c>
    </row>
    <row r="12" spans="1:4" ht="33.75" customHeight="1" x14ac:dyDescent="0.25">
      <c r="A12" s="6" t="s">
        <v>194</v>
      </c>
      <c r="B12" s="7" t="s">
        <v>195</v>
      </c>
      <c r="C12" s="7" t="s">
        <v>86</v>
      </c>
      <c r="D12" s="6" t="s">
        <v>178</v>
      </c>
    </row>
    <row r="13" spans="1:4" ht="33.75" customHeight="1" x14ac:dyDescent="0.25">
      <c r="A13" s="6" t="s">
        <v>196</v>
      </c>
      <c r="B13" s="7" t="s">
        <v>197</v>
      </c>
      <c r="C13" s="7" t="s">
        <v>91</v>
      </c>
      <c r="D13" s="6" t="s">
        <v>178</v>
      </c>
    </row>
    <row r="14" spans="1:4" ht="33.75" customHeight="1" x14ac:dyDescent="0.25">
      <c r="A14" s="6" t="s">
        <v>198</v>
      </c>
      <c r="B14" s="7" t="s">
        <v>199</v>
      </c>
      <c r="C14" s="7" t="s">
        <v>106</v>
      </c>
      <c r="D14" s="6" t="s">
        <v>178</v>
      </c>
    </row>
    <row r="15" spans="1:4" ht="33.75" customHeight="1" x14ac:dyDescent="0.25">
      <c r="A15" s="6" t="s">
        <v>200</v>
      </c>
      <c r="B15" s="7" t="s">
        <v>201</v>
      </c>
      <c r="C15" s="7" t="s">
        <v>37</v>
      </c>
      <c r="D15" s="6" t="s">
        <v>178</v>
      </c>
    </row>
    <row r="16" spans="1:4" ht="33.75" customHeight="1" x14ac:dyDescent="0.25">
      <c r="A16" s="6" t="s">
        <v>202</v>
      </c>
      <c r="B16" s="7" t="s">
        <v>203</v>
      </c>
      <c r="C16" s="7" t="s">
        <v>111</v>
      </c>
      <c r="D16" s="6" t="s">
        <v>178</v>
      </c>
    </row>
    <row r="17" spans="1:4" ht="33.75" customHeight="1" x14ac:dyDescent="0.25">
      <c r="A17" s="6" t="s">
        <v>204</v>
      </c>
      <c r="B17" s="7" t="s">
        <v>205</v>
      </c>
      <c r="C17" s="7" t="s">
        <v>101</v>
      </c>
      <c r="D17" s="6" t="s">
        <v>178</v>
      </c>
    </row>
    <row r="19" spans="1:4" x14ac:dyDescent="0.25">
      <c r="A19" s="8" t="s">
        <v>112</v>
      </c>
    </row>
    <row r="20" spans="1:4" x14ac:dyDescent="0.25">
      <c r="A20" s="9" t="s">
        <v>206</v>
      </c>
      <c r="B20" s="9">
        <f>COUNTA(A5:A17)</f>
        <v>13</v>
      </c>
    </row>
    <row r="21" spans="1:4" x14ac:dyDescent="0.25">
      <c r="A21" s="9" t="s">
        <v>207</v>
      </c>
      <c r="B21" s="9">
        <f>COUNTIF(D5:D17,"Covered")</f>
        <v>13</v>
      </c>
    </row>
  </sheetData>
  <autoFilter ref="A4:D17" xr:uid="{00000000-0009-0000-0000-000002000000}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42" customWidth="1"/>
    <col min="3" max="3" width="26" customWidth="1"/>
    <col min="4" max="4" width="32" customWidth="1"/>
    <col min="5" max="8" width="20" customWidth="1"/>
  </cols>
  <sheetData>
    <row r="1" spans="1:6" ht="25.5" customHeight="1" x14ac:dyDescent="0.25">
      <c r="A1" s="4" t="s">
        <v>208</v>
      </c>
      <c r="B1" s="4"/>
      <c r="C1" s="4"/>
      <c r="D1" s="4"/>
      <c r="E1" s="4"/>
      <c r="F1" s="4"/>
    </row>
    <row r="2" spans="1:6" ht="15.75" customHeight="1" x14ac:dyDescent="0.25">
      <c r="A2" s="3" t="s">
        <v>209</v>
      </c>
      <c r="B2" s="3"/>
      <c r="C2" s="3"/>
      <c r="D2" s="3"/>
      <c r="E2" s="3"/>
      <c r="F2" s="3"/>
    </row>
    <row r="4" spans="1:6" ht="30" customHeight="1" x14ac:dyDescent="0.25">
      <c r="A4" s="5" t="s">
        <v>210</v>
      </c>
      <c r="B4" s="5" t="s">
        <v>211</v>
      </c>
      <c r="C4" s="5" t="s">
        <v>7</v>
      </c>
      <c r="D4" s="5" t="s">
        <v>212</v>
      </c>
      <c r="E4" s="5" t="s">
        <v>213</v>
      </c>
      <c r="F4" s="5" t="s">
        <v>214</v>
      </c>
    </row>
    <row r="5" spans="1:6" ht="84.75" customHeight="1" x14ac:dyDescent="0.25">
      <c r="A5" s="6" t="s">
        <v>215</v>
      </c>
      <c r="B5" s="7" t="s">
        <v>216</v>
      </c>
      <c r="C5" s="7" t="s">
        <v>217</v>
      </c>
      <c r="D5" s="7" t="s">
        <v>218</v>
      </c>
      <c r="E5" s="6" t="s">
        <v>219</v>
      </c>
      <c r="F5" s="7" t="s">
        <v>220</v>
      </c>
    </row>
    <row r="6" spans="1:6" ht="84.75" customHeight="1" x14ac:dyDescent="0.25">
      <c r="A6" s="6" t="s">
        <v>221</v>
      </c>
      <c r="B6" s="7" t="s">
        <v>222</v>
      </c>
      <c r="C6" s="7" t="s">
        <v>223</v>
      </c>
      <c r="D6" s="7" t="s">
        <v>224</v>
      </c>
      <c r="E6" s="6" t="s">
        <v>219</v>
      </c>
      <c r="F6" s="7" t="s">
        <v>220</v>
      </c>
    </row>
    <row r="7" spans="1:6" ht="84.75" customHeight="1" x14ac:dyDescent="0.25">
      <c r="A7" s="6" t="s">
        <v>225</v>
      </c>
      <c r="B7" s="7" t="s">
        <v>226</v>
      </c>
      <c r="C7" s="7" t="s">
        <v>227</v>
      </c>
      <c r="D7" s="7" t="s">
        <v>228</v>
      </c>
      <c r="E7" s="6" t="s">
        <v>229</v>
      </c>
      <c r="F7" s="7" t="s">
        <v>220</v>
      </c>
    </row>
    <row r="8" spans="1:6" ht="84.75" customHeight="1" x14ac:dyDescent="0.25">
      <c r="A8" s="6" t="s">
        <v>230</v>
      </c>
      <c r="B8" s="7" t="s">
        <v>231</v>
      </c>
      <c r="C8" s="7" t="s">
        <v>232</v>
      </c>
      <c r="D8" s="7" t="s">
        <v>233</v>
      </c>
      <c r="E8" s="6" t="s">
        <v>234</v>
      </c>
      <c r="F8" s="7" t="s">
        <v>220</v>
      </c>
    </row>
    <row r="9" spans="1:6" ht="84.75" customHeight="1" x14ac:dyDescent="0.25">
      <c r="A9" s="6" t="s">
        <v>235</v>
      </c>
      <c r="B9" s="7" t="s">
        <v>236</v>
      </c>
      <c r="C9" s="7" t="s">
        <v>237</v>
      </c>
      <c r="D9" s="7" t="s">
        <v>238</v>
      </c>
      <c r="E9" s="6" t="s">
        <v>219</v>
      </c>
      <c r="F9" s="7" t="s">
        <v>239</v>
      </c>
    </row>
    <row r="11" spans="1:6" ht="39.75" customHeight="1" x14ac:dyDescent="0.25">
      <c r="A11" s="8" t="s">
        <v>240</v>
      </c>
      <c r="B11" s="2" t="s">
        <v>241</v>
      </c>
      <c r="C11" s="2"/>
      <c r="D11" s="2"/>
      <c r="E11" s="2"/>
      <c r="F11" s="2"/>
    </row>
  </sheetData>
  <autoFilter ref="A4:F9" xr:uid="{00000000-0009-0000-0000-000003000000}"/>
  <mergeCells count="3">
    <mergeCell ref="A1:F1"/>
    <mergeCell ref="A2:F2"/>
    <mergeCell ref="B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showGridLines="0" zoomScaleNormal="100" workbookViewId="0">
      <pane ySplit="16" topLeftCell="A17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8" customWidth="1"/>
    <col min="3" max="3" width="36" customWidth="1"/>
    <col min="4" max="5" width="26" customWidth="1"/>
    <col min="6" max="6" width="12" customWidth="1"/>
    <col min="7" max="7" width="10" customWidth="1"/>
    <col min="8" max="8" width="20" customWidth="1"/>
  </cols>
  <sheetData>
    <row r="1" spans="1:8" ht="25.5" customHeight="1" x14ac:dyDescent="0.25">
      <c r="A1" s="1" t="s">
        <v>242</v>
      </c>
      <c r="B1" s="1"/>
      <c r="C1" s="1"/>
      <c r="D1" s="1"/>
      <c r="E1" s="1"/>
      <c r="F1" s="1"/>
    </row>
    <row r="3" spans="1:8" ht="30" customHeight="1" x14ac:dyDescent="0.25">
      <c r="A3" s="2" t="s">
        <v>243</v>
      </c>
      <c r="B3" s="2"/>
      <c r="C3" s="2"/>
      <c r="D3" s="2"/>
      <c r="E3" s="2"/>
      <c r="F3" s="2"/>
    </row>
    <row r="5" spans="1:8" x14ac:dyDescent="0.25">
      <c r="A5" s="8" t="s">
        <v>244</v>
      </c>
    </row>
    <row r="6" spans="1:8" ht="18" customHeight="1" x14ac:dyDescent="0.25">
      <c r="A6" s="2" t="s">
        <v>245</v>
      </c>
      <c r="B6" s="2"/>
      <c r="C6" s="2"/>
      <c r="D6" s="2"/>
      <c r="E6" s="2"/>
      <c r="F6" s="2"/>
    </row>
    <row r="7" spans="1:8" ht="18" customHeight="1" x14ac:dyDescent="0.25">
      <c r="A7" s="2" t="s">
        <v>246</v>
      </c>
      <c r="B7" s="2"/>
      <c r="C7" s="2"/>
      <c r="D7" s="2"/>
      <c r="E7" s="2"/>
      <c r="F7" s="2"/>
    </row>
    <row r="8" spans="1:8" ht="18" customHeight="1" x14ac:dyDescent="0.25">
      <c r="A8" s="2" t="s">
        <v>247</v>
      </c>
      <c r="B8" s="2"/>
      <c r="C8" s="2"/>
      <c r="D8" s="2"/>
      <c r="E8" s="2"/>
      <c r="F8" s="2"/>
    </row>
    <row r="9" spans="1:8" ht="18" customHeight="1" x14ac:dyDescent="0.25">
      <c r="A9" s="2" t="s">
        <v>248</v>
      </c>
      <c r="B9" s="2"/>
      <c r="C9" s="2"/>
      <c r="D9" s="2"/>
      <c r="E9" s="2"/>
      <c r="F9" s="2"/>
    </row>
    <row r="10" spans="1:8" ht="18" customHeight="1" x14ac:dyDescent="0.25">
      <c r="A10" s="2" t="s">
        <v>249</v>
      </c>
      <c r="B10" s="2"/>
      <c r="C10" s="2"/>
      <c r="D10" s="2"/>
      <c r="E10" s="2"/>
      <c r="F10" s="2"/>
    </row>
    <row r="11" spans="1:8" ht="18" customHeight="1" x14ac:dyDescent="0.25">
      <c r="A11" s="2" t="s">
        <v>250</v>
      </c>
      <c r="B11" s="2"/>
      <c r="C11" s="2"/>
      <c r="D11" s="2"/>
      <c r="E11" s="2"/>
      <c r="F11" s="2"/>
    </row>
    <row r="12" spans="1:8" ht="18" customHeight="1" x14ac:dyDescent="0.25">
      <c r="A12" s="2" t="s">
        <v>251</v>
      </c>
      <c r="B12" s="2"/>
      <c r="C12" s="2"/>
      <c r="D12" s="2"/>
      <c r="E12" s="2"/>
      <c r="F12" s="2"/>
    </row>
    <row r="13" spans="1:8" ht="18" customHeight="1" x14ac:dyDescent="0.25">
      <c r="A13" s="2" t="s">
        <v>252</v>
      </c>
      <c r="B13" s="2"/>
      <c r="C13" s="2"/>
      <c r="D13" s="2"/>
      <c r="E13" s="2"/>
      <c r="F13" s="2"/>
    </row>
    <row r="15" spans="1:8" x14ac:dyDescent="0.25">
      <c r="A15" s="8" t="s">
        <v>253</v>
      </c>
    </row>
    <row r="16" spans="1:8" ht="30" customHeight="1" x14ac:dyDescent="0.25">
      <c r="A16" s="5" t="s">
        <v>210</v>
      </c>
      <c r="B16" s="5" t="s">
        <v>254</v>
      </c>
      <c r="C16" s="5" t="s">
        <v>255</v>
      </c>
      <c r="D16" s="5" t="s">
        <v>7</v>
      </c>
      <c r="E16" s="5" t="s">
        <v>212</v>
      </c>
      <c r="F16" s="5" t="s">
        <v>256</v>
      </c>
      <c r="G16" s="5" t="s">
        <v>9</v>
      </c>
      <c r="H16" s="5" t="s">
        <v>257</v>
      </c>
    </row>
    <row r="17" spans="1:8" ht="54.75" customHeight="1" x14ac:dyDescent="0.25">
      <c r="A17" s="10" t="s">
        <v>258</v>
      </c>
      <c r="B17" s="11" t="s">
        <v>259</v>
      </c>
      <c r="C17" s="11" t="s">
        <v>260</v>
      </c>
      <c r="D17" s="11" t="s">
        <v>261</v>
      </c>
      <c r="E17" s="11" t="s">
        <v>262</v>
      </c>
      <c r="F17" s="10" t="s">
        <v>17</v>
      </c>
      <c r="G17" s="10" t="s">
        <v>17</v>
      </c>
      <c r="H17" s="10" t="s">
        <v>263</v>
      </c>
    </row>
    <row r="18" spans="1:8" ht="54.75" customHeight="1" x14ac:dyDescent="0.25">
      <c r="A18" s="6"/>
      <c r="B18" s="7"/>
      <c r="C18" s="7"/>
      <c r="D18" s="7"/>
      <c r="E18" s="7"/>
      <c r="F18" s="6"/>
      <c r="G18" s="6"/>
      <c r="H18" s="6"/>
    </row>
    <row r="19" spans="1:8" ht="54.75" customHeight="1" x14ac:dyDescent="0.25">
      <c r="A19" s="6"/>
      <c r="B19" s="7"/>
      <c r="C19" s="7"/>
      <c r="D19" s="7"/>
      <c r="E19" s="7"/>
      <c r="F19" s="6"/>
      <c r="G19" s="6"/>
      <c r="H19" s="6"/>
    </row>
    <row r="20" spans="1:8" ht="54.75" customHeight="1" x14ac:dyDescent="0.25">
      <c r="A20" s="6"/>
      <c r="B20" s="7"/>
      <c r="C20" s="7"/>
      <c r="D20" s="7"/>
      <c r="E20" s="7"/>
      <c r="F20" s="6"/>
      <c r="G20" s="6"/>
      <c r="H20" s="6"/>
    </row>
    <row r="21" spans="1:8" ht="54.75" customHeight="1" x14ac:dyDescent="0.25">
      <c r="A21" s="6"/>
      <c r="B21" s="7"/>
      <c r="C21" s="7"/>
      <c r="D21" s="7"/>
      <c r="E21" s="7"/>
      <c r="F21" s="6"/>
      <c r="G21" s="6"/>
      <c r="H21" s="6"/>
    </row>
    <row r="22" spans="1:8" ht="54.75" customHeight="1" x14ac:dyDescent="0.25">
      <c r="A22" s="6"/>
      <c r="B22" s="7"/>
      <c r="C22" s="7"/>
      <c r="D22" s="7"/>
      <c r="E22" s="7"/>
      <c r="F22" s="6"/>
      <c r="G22" s="6"/>
      <c r="H22" s="6"/>
    </row>
    <row r="23" spans="1:8" ht="54.75" customHeight="1" x14ac:dyDescent="0.25">
      <c r="A23" s="6"/>
      <c r="B23" s="7"/>
      <c r="C23" s="7"/>
      <c r="D23" s="7"/>
      <c r="E23" s="7"/>
      <c r="F23" s="6"/>
      <c r="G23" s="6"/>
      <c r="H23" s="6"/>
    </row>
  </sheetData>
  <autoFilter ref="A16:H23" xr:uid="{00000000-0009-0000-0000-000004000000}"/>
  <mergeCells count="10">
    <mergeCell ref="A9:F9"/>
    <mergeCell ref="A10:F10"/>
    <mergeCell ref="A11:F11"/>
    <mergeCell ref="A12:F12"/>
    <mergeCell ref="A13:F13"/>
    <mergeCell ref="A1:F1"/>
    <mergeCell ref="A3:F3"/>
    <mergeCell ref="A6:F6"/>
    <mergeCell ref="A7:F7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Test Cases</vt:lpstr>
      <vt:lpstr>Checkout Test Scenarios</vt:lpstr>
      <vt:lpstr>Traceability Matrix</vt:lpstr>
      <vt:lpstr>Bug Report (Example)</vt:lpstr>
      <vt:lpstr>Bug Hunting - Your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jayant bansal</cp:lastModifiedBy>
  <cp:revision>0</cp:revision>
  <dcterms:created xsi:type="dcterms:W3CDTF">2026-09-16T20:59:39Z</dcterms:created>
  <dcterms:modified xsi:type="dcterms:W3CDTF">2026-09-16T23:18:38Z</dcterms:modified>
  <dc:language>en-US</dc:language>
</cp:coreProperties>
</file>